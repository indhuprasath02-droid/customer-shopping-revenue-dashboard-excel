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cus\Data Analytics\Company Apply\Survey clg\company Projects\Projects Excel\Project 2\customer_shopping_data.csv\"/>
    </mc:Choice>
  </mc:AlternateContent>
  <xr:revisionPtr revIDLastSave="0" documentId="8_{DF90C2AD-FFA2-40AC-9A22-BAD1E837325F}" xr6:coauthVersionLast="47" xr6:coauthVersionMax="47" xr10:uidLastSave="{00000000-0000-0000-0000-000000000000}"/>
  <bookViews>
    <workbookView xWindow="-108" yWindow="-108" windowWidth="23256" windowHeight="12456" xr2:uid="{681E4BA2-A600-45F1-91CB-0CA041E9B635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R2" i="1" s="1"/>
  <c r="L2" i="1"/>
  <c r="M2" i="1"/>
  <c r="N2" i="1"/>
  <c r="O2" i="1"/>
  <c r="P2" i="1"/>
  <c r="Q2" i="1"/>
  <c r="S2" i="1"/>
  <c r="K3" i="1"/>
  <c r="R3" i="1" s="1"/>
  <c r="L3" i="1"/>
  <c r="N3" i="1"/>
  <c r="O3" i="1"/>
  <c r="P3" i="1"/>
  <c r="Q3" i="1"/>
  <c r="S3" i="1"/>
  <c r="K4" i="1"/>
  <c r="M4" i="1" s="1"/>
  <c r="L4" i="1"/>
  <c r="N4" i="1"/>
  <c r="O4" i="1"/>
  <c r="P4" i="1"/>
  <c r="Q4" i="1"/>
  <c r="R4" i="1"/>
  <c r="S4" i="1"/>
  <c r="K5" i="1"/>
  <c r="L5" i="1"/>
  <c r="M5" i="1"/>
  <c r="N5" i="1"/>
  <c r="O5" i="1"/>
  <c r="P5" i="1"/>
  <c r="Q5" i="1"/>
  <c r="R5" i="1"/>
  <c r="S5" i="1"/>
  <c r="K6" i="1"/>
  <c r="R6" i="1" s="1"/>
  <c r="L6" i="1"/>
  <c r="N6" i="1"/>
  <c r="O6" i="1"/>
  <c r="P6" i="1"/>
  <c r="Q6" i="1"/>
  <c r="S6" i="1"/>
  <c r="K7" i="1"/>
  <c r="M7" i="1" s="1"/>
  <c r="L7" i="1"/>
  <c r="N7" i="1"/>
  <c r="O7" i="1"/>
  <c r="P7" i="1"/>
  <c r="Q7" i="1"/>
  <c r="R7" i="1"/>
  <c r="S7" i="1"/>
  <c r="K8" i="1"/>
  <c r="M8" i="1" s="1"/>
  <c r="L8" i="1"/>
  <c r="N8" i="1"/>
  <c r="O8" i="1"/>
  <c r="P8" i="1"/>
  <c r="Q8" i="1"/>
  <c r="R8" i="1"/>
  <c r="S8" i="1"/>
  <c r="K9" i="1"/>
  <c r="L9" i="1"/>
  <c r="M9" i="1"/>
  <c r="N9" i="1"/>
  <c r="O9" i="1"/>
  <c r="P9" i="1"/>
  <c r="Q9" i="1"/>
  <c r="R9" i="1"/>
  <c r="S9" i="1"/>
  <c r="K10" i="1"/>
  <c r="R10" i="1" s="1"/>
  <c r="L10" i="1"/>
  <c r="M10" i="1"/>
  <c r="N10" i="1"/>
  <c r="O10" i="1"/>
  <c r="P10" i="1"/>
  <c r="Q10" i="1"/>
  <c r="S10" i="1"/>
  <c r="K11" i="1"/>
  <c r="R11" i="1" s="1"/>
  <c r="L11" i="1"/>
  <c r="N11" i="1"/>
  <c r="O11" i="1"/>
  <c r="P11" i="1"/>
  <c r="Q11" i="1"/>
  <c r="S11" i="1"/>
  <c r="K12" i="1"/>
  <c r="M12" i="1" s="1"/>
  <c r="L12" i="1"/>
  <c r="N12" i="1"/>
  <c r="O12" i="1"/>
  <c r="P12" i="1"/>
  <c r="Q12" i="1"/>
  <c r="R12" i="1"/>
  <c r="S12" i="1"/>
  <c r="K13" i="1"/>
  <c r="L13" i="1"/>
  <c r="M13" i="1"/>
  <c r="N13" i="1"/>
  <c r="O13" i="1"/>
  <c r="P13" i="1"/>
  <c r="Q13" i="1"/>
  <c r="R13" i="1"/>
  <c r="S13" i="1"/>
  <c r="K14" i="1"/>
  <c r="R14" i="1" s="1"/>
  <c r="L14" i="1"/>
  <c r="N14" i="1"/>
  <c r="O14" i="1"/>
  <c r="P14" i="1"/>
  <c r="Q14" i="1"/>
  <c r="S14" i="1"/>
  <c r="K15" i="1"/>
  <c r="M15" i="1" s="1"/>
  <c r="L15" i="1"/>
  <c r="N15" i="1"/>
  <c r="O15" i="1"/>
  <c r="P15" i="1"/>
  <c r="Q15" i="1"/>
  <c r="R15" i="1"/>
  <c r="S15" i="1"/>
  <c r="K16" i="1"/>
  <c r="M16" i="1" s="1"/>
  <c r="L16" i="1"/>
  <c r="N16" i="1"/>
  <c r="O16" i="1"/>
  <c r="P16" i="1"/>
  <c r="Q16" i="1"/>
  <c r="R16" i="1"/>
  <c r="S16" i="1"/>
  <c r="K17" i="1"/>
  <c r="L17" i="1"/>
  <c r="M17" i="1"/>
  <c r="N17" i="1"/>
  <c r="O17" i="1"/>
  <c r="P17" i="1"/>
  <c r="Q17" i="1"/>
  <c r="R17" i="1"/>
  <c r="S17" i="1"/>
  <c r="K18" i="1"/>
  <c r="R18" i="1" s="1"/>
  <c r="L18" i="1"/>
  <c r="M18" i="1"/>
  <c r="N18" i="1"/>
  <c r="O18" i="1"/>
  <c r="P18" i="1"/>
  <c r="Q18" i="1"/>
  <c r="S18" i="1"/>
  <c r="K19" i="1"/>
  <c r="R19" i="1" s="1"/>
  <c r="L19" i="1"/>
  <c r="N19" i="1"/>
  <c r="O19" i="1"/>
  <c r="P19" i="1"/>
  <c r="Q19" i="1"/>
  <c r="S19" i="1"/>
  <c r="K20" i="1"/>
  <c r="M20" i="1" s="1"/>
  <c r="L20" i="1"/>
  <c r="N20" i="1"/>
  <c r="O20" i="1"/>
  <c r="P20" i="1"/>
  <c r="Q20" i="1"/>
  <c r="R20" i="1"/>
  <c r="S20" i="1"/>
  <c r="K21" i="1"/>
  <c r="L21" i="1"/>
  <c r="M21" i="1"/>
  <c r="N21" i="1"/>
  <c r="O21" i="1"/>
  <c r="P21" i="1"/>
  <c r="Q21" i="1"/>
  <c r="R21" i="1"/>
  <c r="S21" i="1"/>
  <c r="K22" i="1"/>
  <c r="R22" i="1" s="1"/>
  <c r="L22" i="1"/>
  <c r="N22" i="1"/>
  <c r="O22" i="1"/>
  <c r="P22" i="1"/>
  <c r="Q22" i="1"/>
  <c r="S22" i="1"/>
  <c r="K23" i="1"/>
  <c r="M23" i="1" s="1"/>
  <c r="L23" i="1"/>
  <c r="N23" i="1"/>
  <c r="O23" i="1"/>
  <c r="P23" i="1"/>
  <c r="Q23" i="1"/>
  <c r="R23" i="1"/>
  <c r="S23" i="1"/>
  <c r="K24" i="1"/>
  <c r="M24" i="1" s="1"/>
  <c r="L24" i="1"/>
  <c r="N24" i="1"/>
  <c r="O24" i="1"/>
  <c r="P24" i="1"/>
  <c r="Q24" i="1"/>
  <c r="R24" i="1"/>
  <c r="S24" i="1"/>
  <c r="K25" i="1"/>
  <c r="L25" i="1"/>
  <c r="M25" i="1"/>
  <c r="N25" i="1"/>
  <c r="O25" i="1"/>
  <c r="P25" i="1"/>
  <c r="Q25" i="1"/>
  <c r="R25" i="1"/>
  <c r="S25" i="1"/>
  <c r="K26" i="1"/>
  <c r="R26" i="1" s="1"/>
  <c r="L26" i="1"/>
  <c r="M26" i="1"/>
  <c r="N26" i="1"/>
  <c r="O26" i="1"/>
  <c r="P26" i="1"/>
  <c r="Q26" i="1"/>
  <c r="S26" i="1"/>
  <c r="K27" i="1"/>
  <c r="R27" i="1" s="1"/>
  <c r="L27" i="1"/>
  <c r="N27" i="1"/>
  <c r="O27" i="1"/>
  <c r="P27" i="1"/>
  <c r="Q27" i="1"/>
  <c r="S27" i="1"/>
  <c r="K28" i="1"/>
  <c r="M28" i="1" s="1"/>
  <c r="L28" i="1"/>
  <c r="N28" i="1"/>
  <c r="O28" i="1"/>
  <c r="P28" i="1"/>
  <c r="Q28" i="1"/>
  <c r="R28" i="1"/>
  <c r="S28" i="1"/>
  <c r="K29" i="1"/>
  <c r="L29" i="1"/>
  <c r="M29" i="1"/>
  <c r="N29" i="1"/>
  <c r="O29" i="1"/>
  <c r="P29" i="1"/>
  <c r="Q29" i="1"/>
  <c r="R29" i="1"/>
  <c r="S29" i="1"/>
  <c r="K30" i="1"/>
  <c r="R30" i="1" s="1"/>
  <c r="L30" i="1"/>
  <c r="N30" i="1"/>
  <c r="O30" i="1"/>
  <c r="P30" i="1"/>
  <c r="Q30" i="1"/>
  <c r="S30" i="1"/>
  <c r="K31" i="1"/>
  <c r="M31" i="1" s="1"/>
  <c r="L31" i="1"/>
  <c r="N31" i="1"/>
  <c r="O31" i="1"/>
  <c r="P31" i="1"/>
  <c r="Q31" i="1"/>
  <c r="R31" i="1"/>
  <c r="S31" i="1"/>
  <c r="K32" i="1"/>
  <c r="M32" i="1" s="1"/>
  <c r="L32" i="1"/>
  <c r="N32" i="1"/>
  <c r="O32" i="1"/>
  <c r="P32" i="1"/>
  <c r="Q32" i="1"/>
  <c r="R32" i="1"/>
  <c r="S32" i="1"/>
  <c r="K33" i="1"/>
  <c r="L33" i="1"/>
  <c r="M33" i="1"/>
  <c r="N33" i="1"/>
  <c r="O33" i="1"/>
  <c r="P33" i="1"/>
  <c r="Q33" i="1"/>
  <c r="R33" i="1"/>
  <c r="S33" i="1"/>
  <c r="K34" i="1"/>
  <c r="R34" i="1" s="1"/>
  <c r="L34" i="1"/>
  <c r="M34" i="1"/>
  <c r="N34" i="1"/>
  <c r="O34" i="1"/>
  <c r="P34" i="1"/>
  <c r="Q34" i="1"/>
  <c r="S34" i="1"/>
  <c r="K35" i="1"/>
  <c r="R35" i="1" s="1"/>
  <c r="L35" i="1"/>
  <c r="N35" i="1"/>
  <c r="O35" i="1"/>
  <c r="P35" i="1"/>
  <c r="Q35" i="1"/>
  <c r="S35" i="1"/>
  <c r="K36" i="1"/>
  <c r="M36" i="1" s="1"/>
  <c r="L36" i="1"/>
  <c r="N36" i="1"/>
  <c r="O36" i="1"/>
  <c r="P36" i="1"/>
  <c r="Q36" i="1"/>
  <c r="R36" i="1"/>
  <c r="S36" i="1"/>
  <c r="K37" i="1"/>
  <c r="L37" i="1"/>
  <c r="M37" i="1"/>
  <c r="N37" i="1"/>
  <c r="O37" i="1"/>
  <c r="P37" i="1"/>
  <c r="Q37" i="1"/>
  <c r="R37" i="1"/>
  <c r="S37" i="1"/>
  <c r="K38" i="1"/>
  <c r="R38" i="1" s="1"/>
  <c r="L38" i="1"/>
  <c r="N38" i="1"/>
  <c r="O38" i="1"/>
  <c r="P38" i="1"/>
  <c r="Q38" i="1"/>
  <c r="S38" i="1"/>
  <c r="K39" i="1"/>
  <c r="M39" i="1" s="1"/>
  <c r="L39" i="1"/>
  <c r="N39" i="1"/>
  <c r="O39" i="1"/>
  <c r="P39" i="1"/>
  <c r="Q39" i="1"/>
  <c r="R39" i="1"/>
  <c r="S39" i="1"/>
  <c r="K40" i="1"/>
  <c r="M40" i="1" s="1"/>
  <c r="L40" i="1"/>
  <c r="N40" i="1"/>
  <c r="O40" i="1"/>
  <c r="P40" i="1"/>
  <c r="Q40" i="1"/>
  <c r="R40" i="1"/>
  <c r="S40" i="1"/>
  <c r="K41" i="1"/>
  <c r="L41" i="1"/>
  <c r="M41" i="1"/>
  <c r="N41" i="1"/>
  <c r="O41" i="1"/>
  <c r="P41" i="1"/>
  <c r="Q41" i="1"/>
  <c r="R41" i="1"/>
  <c r="S41" i="1"/>
  <c r="K42" i="1"/>
  <c r="R42" i="1" s="1"/>
  <c r="L42" i="1"/>
  <c r="M42" i="1"/>
  <c r="N42" i="1"/>
  <c r="O42" i="1"/>
  <c r="P42" i="1"/>
  <c r="Q42" i="1"/>
  <c r="S42" i="1"/>
  <c r="K43" i="1"/>
  <c r="R43" i="1" s="1"/>
  <c r="L43" i="1"/>
  <c r="N43" i="1"/>
  <c r="O43" i="1"/>
  <c r="P43" i="1"/>
  <c r="Q43" i="1"/>
  <c r="S43" i="1"/>
  <c r="K44" i="1"/>
  <c r="M44" i="1" s="1"/>
  <c r="L44" i="1"/>
  <c r="N44" i="1"/>
  <c r="O44" i="1"/>
  <c r="P44" i="1"/>
  <c r="Q44" i="1"/>
  <c r="R44" i="1"/>
  <c r="S44" i="1"/>
  <c r="K45" i="1"/>
  <c r="L45" i="1"/>
  <c r="M45" i="1"/>
  <c r="N45" i="1"/>
  <c r="O45" i="1"/>
  <c r="P45" i="1"/>
  <c r="Q45" i="1"/>
  <c r="R45" i="1"/>
  <c r="S45" i="1"/>
  <c r="K46" i="1"/>
  <c r="R46" i="1" s="1"/>
  <c r="L46" i="1"/>
  <c r="N46" i="1"/>
  <c r="O46" i="1"/>
  <c r="P46" i="1"/>
  <c r="Q46" i="1"/>
  <c r="S46" i="1"/>
  <c r="K47" i="1"/>
  <c r="M47" i="1" s="1"/>
  <c r="L47" i="1"/>
  <c r="N47" i="1"/>
  <c r="O47" i="1"/>
  <c r="P47" i="1"/>
  <c r="Q47" i="1"/>
  <c r="R47" i="1"/>
  <c r="S47" i="1"/>
  <c r="K48" i="1"/>
  <c r="M48" i="1" s="1"/>
  <c r="L48" i="1"/>
  <c r="N48" i="1"/>
  <c r="O48" i="1"/>
  <c r="P48" i="1"/>
  <c r="Q48" i="1"/>
  <c r="R48" i="1"/>
  <c r="S48" i="1"/>
  <c r="K49" i="1"/>
  <c r="L49" i="1"/>
  <c r="M49" i="1"/>
  <c r="N49" i="1"/>
  <c r="O49" i="1"/>
  <c r="P49" i="1"/>
  <c r="Q49" i="1"/>
  <c r="R49" i="1"/>
  <c r="S49" i="1"/>
  <c r="K50" i="1"/>
  <c r="R50" i="1" s="1"/>
  <c r="L50" i="1"/>
  <c r="M50" i="1"/>
  <c r="N50" i="1"/>
  <c r="O50" i="1"/>
  <c r="P50" i="1"/>
  <c r="Q50" i="1"/>
  <c r="S50" i="1"/>
  <c r="K51" i="1"/>
  <c r="R51" i="1" s="1"/>
  <c r="L51" i="1"/>
  <c r="N51" i="1"/>
  <c r="O51" i="1"/>
  <c r="P51" i="1"/>
  <c r="Q51" i="1"/>
  <c r="S51" i="1"/>
  <c r="K52" i="1"/>
  <c r="M52" i="1" s="1"/>
  <c r="L52" i="1"/>
  <c r="N52" i="1"/>
  <c r="O52" i="1"/>
  <c r="P52" i="1"/>
  <c r="Q52" i="1"/>
  <c r="R52" i="1"/>
  <c r="S52" i="1"/>
  <c r="K53" i="1"/>
  <c r="L53" i="1"/>
  <c r="M53" i="1"/>
  <c r="N53" i="1"/>
  <c r="O53" i="1"/>
  <c r="P53" i="1"/>
  <c r="Q53" i="1"/>
  <c r="R53" i="1"/>
  <c r="S53" i="1"/>
  <c r="K54" i="1"/>
  <c r="R54" i="1" s="1"/>
  <c r="L54" i="1"/>
  <c r="N54" i="1"/>
  <c r="O54" i="1"/>
  <c r="P54" i="1"/>
  <c r="Q54" i="1"/>
  <c r="S54" i="1"/>
  <c r="K55" i="1"/>
  <c r="M55" i="1" s="1"/>
  <c r="L55" i="1"/>
  <c r="N55" i="1"/>
  <c r="O55" i="1"/>
  <c r="P55" i="1"/>
  <c r="Q55" i="1"/>
  <c r="R55" i="1"/>
  <c r="S55" i="1"/>
  <c r="K56" i="1"/>
  <c r="M56" i="1" s="1"/>
  <c r="L56" i="1"/>
  <c r="N56" i="1"/>
  <c r="O56" i="1"/>
  <c r="P56" i="1"/>
  <c r="Q56" i="1"/>
  <c r="R56" i="1"/>
  <c r="S56" i="1"/>
  <c r="K57" i="1"/>
  <c r="L57" i="1"/>
  <c r="M57" i="1"/>
  <c r="N57" i="1"/>
  <c r="O57" i="1"/>
  <c r="P57" i="1"/>
  <c r="Q57" i="1"/>
  <c r="R57" i="1"/>
  <c r="S57" i="1"/>
  <c r="K58" i="1"/>
  <c r="R58" i="1" s="1"/>
  <c r="L58" i="1"/>
  <c r="M58" i="1"/>
  <c r="N58" i="1"/>
  <c r="O58" i="1"/>
  <c r="P58" i="1"/>
  <c r="Q58" i="1"/>
  <c r="S58" i="1"/>
  <c r="K59" i="1"/>
  <c r="R59" i="1" s="1"/>
  <c r="L59" i="1"/>
  <c r="N59" i="1"/>
  <c r="O59" i="1"/>
  <c r="P59" i="1"/>
  <c r="Q59" i="1"/>
  <c r="S59" i="1"/>
  <c r="K60" i="1"/>
  <c r="M60" i="1" s="1"/>
  <c r="L60" i="1"/>
  <c r="N60" i="1"/>
  <c r="O60" i="1"/>
  <c r="P60" i="1"/>
  <c r="Q60" i="1"/>
  <c r="R60" i="1"/>
  <c r="S60" i="1"/>
  <c r="K61" i="1"/>
  <c r="L61" i="1"/>
  <c r="M61" i="1"/>
  <c r="N61" i="1"/>
  <c r="O61" i="1"/>
  <c r="P61" i="1"/>
  <c r="Q61" i="1"/>
  <c r="R61" i="1"/>
  <c r="S61" i="1"/>
  <c r="K62" i="1"/>
  <c r="R62" i="1" s="1"/>
  <c r="L62" i="1"/>
  <c r="N62" i="1"/>
  <c r="O62" i="1"/>
  <c r="P62" i="1"/>
  <c r="Q62" i="1"/>
  <c r="S62" i="1"/>
  <c r="K63" i="1"/>
  <c r="M63" i="1" s="1"/>
  <c r="L63" i="1"/>
  <c r="N63" i="1"/>
  <c r="O63" i="1"/>
  <c r="P63" i="1"/>
  <c r="Q63" i="1"/>
  <c r="R63" i="1"/>
  <c r="S63" i="1"/>
  <c r="K64" i="1"/>
  <c r="M64" i="1" s="1"/>
  <c r="L64" i="1"/>
  <c r="N64" i="1"/>
  <c r="O64" i="1"/>
  <c r="P64" i="1"/>
  <c r="Q64" i="1"/>
  <c r="R64" i="1"/>
  <c r="S64" i="1"/>
  <c r="K65" i="1"/>
  <c r="L65" i="1"/>
  <c r="M65" i="1"/>
  <c r="N65" i="1"/>
  <c r="O65" i="1"/>
  <c r="P65" i="1"/>
  <c r="Q65" i="1"/>
  <c r="R65" i="1"/>
  <c r="S65" i="1"/>
  <c r="K66" i="1"/>
  <c r="R66" i="1" s="1"/>
  <c r="L66" i="1"/>
  <c r="M66" i="1"/>
  <c r="N66" i="1"/>
  <c r="O66" i="1"/>
  <c r="P66" i="1"/>
  <c r="Q66" i="1"/>
  <c r="S66" i="1"/>
  <c r="K67" i="1"/>
  <c r="R67" i="1" s="1"/>
  <c r="L67" i="1"/>
  <c r="N67" i="1"/>
  <c r="O67" i="1"/>
  <c r="P67" i="1"/>
  <c r="Q67" i="1"/>
  <c r="S67" i="1"/>
  <c r="K68" i="1"/>
  <c r="M68" i="1" s="1"/>
  <c r="L68" i="1"/>
  <c r="N68" i="1"/>
  <c r="O68" i="1"/>
  <c r="P68" i="1"/>
  <c r="Q68" i="1"/>
  <c r="R68" i="1"/>
  <c r="S68" i="1"/>
  <c r="K69" i="1"/>
  <c r="L69" i="1"/>
  <c r="M69" i="1"/>
  <c r="N69" i="1"/>
  <c r="O69" i="1"/>
  <c r="P69" i="1"/>
  <c r="Q69" i="1"/>
  <c r="R69" i="1"/>
  <c r="S69" i="1"/>
  <c r="K70" i="1"/>
  <c r="R70" i="1" s="1"/>
  <c r="L70" i="1"/>
  <c r="N70" i="1"/>
  <c r="O70" i="1"/>
  <c r="P70" i="1"/>
  <c r="Q70" i="1"/>
  <c r="S70" i="1"/>
  <c r="K71" i="1"/>
  <c r="M71" i="1" s="1"/>
  <c r="L71" i="1"/>
  <c r="N71" i="1"/>
  <c r="O71" i="1"/>
  <c r="P71" i="1"/>
  <c r="Q71" i="1"/>
  <c r="R71" i="1"/>
  <c r="S71" i="1"/>
  <c r="K72" i="1"/>
  <c r="L72" i="1"/>
  <c r="M72" i="1"/>
  <c r="N72" i="1"/>
  <c r="O72" i="1"/>
  <c r="P72" i="1"/>
  <c r="Q72" i="1"/>
  <c r="R72" i="1"/>
  <c r="S72" i="1"/>
  <c r="K73" i="1"/>
  <c r="L73" i="1"/>
  <c r="M73" i="1"/>
  <c r="N73" i="1"/>
  <c r="O73" i="1"/>
  <c r="P73" i="1"/>
  <c r="Q73" i="1"/>
  <c r="R73" i="1"/>
  <c r="S73" i="1"/>
  <c r="K74" i="1"/>
  <c r="R74" i="1" s="1"/>
  <c r="L74" i="1"/>
  <c r="M74" i="1"/>
  <c r="N74" i="1"/>
  <c r="O74" i="1"/>
  <c r="P74" i="1"/>
  <c r="Q74" i="1"/>
  <c r="S74" i="1"/>
  <c r="K75" i="1"/>
  <c r="R75" i="1" s="1"/>
  <c r="L75" i="1"/>
  <c r="N75" i="1"/>
  <c r="O75" i="1"/>
  <c r="P75" i="1"/>
  <c r="Q75" i="1"/>
  <c r="S75" i="1"/>
  <c r="K76" i="1"/>
  <c r="M76" i="1" s="1"/>
  <c r="L76" i="1"/>
  <c r="N76" i="1"/>
  <c r="O76" i="1"/>
  <c r="P76" i="1"/>
  <c r="Q76" i="1"/>
  <c r="R76" i="1"/>
  <c r="S76" i="1"/>
  <c r="K77" i="1"/>
  <c r="L77" i="1"/>
  <c r="M77" i="1"/>
  <c r="N77" i="1"/>
  <c r="O77" i="1"/>
  <c r="P77" i="1"/>
  <c r="Q77" i="1"/>
  <c r="R77" i="1"/>
  <c r="S77" i="1"/>
  <c r="K78" i="1"/>
  <c r="R78" i="1" s="1"/>
  <c r="L78" i="1"/>
  <c r="N78" i="1"/>
  <c r="O78" i="1"/>
  <c r="P78" i="1"/>
  <c r="Q78" i="1"/>
  <c r="S78" i="1"/>
  <c r="K79" i="1"/>
  <c r="M79" i="1" s="1"/>
  <c r="L79" i="1"/>
  <c r="N79" i="1"/>
  <c r="O79" i="1"/>
  <c r="P79" i="1"/>
  <c r="Q79" i="1"/>
  <c r="R79" i="1"/>
  <c r="S79" i="1"/>
  <c r="K80" i="1"/>
  <c r="L80" i="1"/>
  <c r="M80" i="1"/>
  <c r="N80" i="1"/>
  <c r="O80" i="1"/>
  <c r="P80" i="1"/>
  <c r="Q80" i="1"/>
  <c r="R80" i="1"/>
  <c r="S80" i="1"/>
  <c r="K81" i="1"/>
  <c r="L81" i="1"/>
  <c r="M81" i="1"/>
  <c r="N81" i="1"/>
  <c r="O81" i="1"/>
  <c r="P81" i="1"/>
  <c r="Q81" i="1"/>
  <c r="R81" i="1"/>
  <c r="S81" i="1"/>
  <c r="K82" i="1"/>
  <c r="R82" i="1" s="1"/>
  <c r="L82" i="1"/>
  <c r="M82" i="1"/>
  <c r="N82" i="1"/>
  <c r="O82" i="1"/>
  <c r="P82" i="1"/>
  <c r="Q82" i="1"/>
  <c r="S82" i="1"/>
  <c r="K83" i="1"/>
  <c r="R83" i="1" s="1"/>
  <c r="L83" i="1"/>
  <c r="N83" i="1"/>
  <c r="O83" i="1"/>
  <c r="P83" i="1"/>
  <c r="Q83" i="1"/>
  <c r="S83" i="1"/>
  <c r="K84" i="1"/>
  <c r="M84" i="1" s="1"/>
  <c r="L84" i="1"/>
  <c r="N84" i="1"/>
  <c r="O84" i="1"/>
  <c r="P84" i="1"/>
  <c r="Q84" i="1"/>
  <c r="R84" i="1"/>
  <c r="S84" i="1"/>
  <c r="K85" i="1"/>
  <c r="L85" i="1"/>
  <c r="M85" i="1"/>
  <c r="N85" i="1"/>
  <c r="O85" i="1"/>
  <c r="P85" i="1"/>
  <c r="Q85" i="1"/>
  <c r="R85" i="1"/>
  <c r="S85" i="1"/>
  <c r="K86" i="1"/>
  <c r="R86" i="1" s="1"/>
  <c r="L86" i="1"/>
  <c r="N86" i="1"/>
  <c r="O86" i="1"/>
  <c r="P86" i="1"/>
  <c r="Q86" i="1"/>
  <c r="S86" i="1"/>
  <c r="K87" i="1"/>
  <c r="M87" i="1" s="1"/>
  <c r="L87" i="1"/>
  <c r="N87" i="1"/>
  <c r="O87" i="1"/>
  <c r="P87" i="1"/>
  <c r="Q87" i="1"/>
  <c r="R87" i="1"/>
  <c r="S87" i="1"/>
  <c r="K88" i="1"/>
  <c r="L88" i="1"/>
  <c r="M88" i="1"/>
  <c r="N88" i="1"/>
  <c r="O88" i="1"/>
  <c r="P88" i="1"/>
  <c r="Q88" i="1"/>
  <c r="R88" i="1"/>
  <c r="S88" i="1"/>
  <c r="K89" i="1"/>
  <c r="L89" i="1"/>
  <c r="M89" i="1"/>
  <c r="N89" i="1"/>
  <c r="O89" i="1"/>
  <c r="P89" i="1"/>
  <c r="Q89" i="1"/>
  <c r="R89" i="1"/>
  <c r="S89" i="1"/>
  <c r="K90" i="1"/>
  <c r="R90" i="1" s="1"/>
  <c r="L90" i="1"/>
  <c r="M90" i="1"/>
  <c r="N90" i="1"/>
  <c r="O90" i="1"/>
  <c r="P90" i="1"/>
  <c r="Q90" i="1"/>
  <c r="S90" i="1"/>
  <c r="K91" i="1"/>
  <c r="R91" i="1" s="1"/>
  <c r="L91" i="1"/>
  <c r="N91" i="1"/>
  <c r="O91" i="1"/>
  <c r="P91" i="1"/>
  <c r="Q91" i="1"/>
  <c r="S91" i="1"/>
  <c r="K92" i="1"/>
  <c r="M92" i="1" s="1"/>
  <c r="L92" i="1"/>
  <c r="N92" i="1"/>
  <c r="O92" i="1"/>
  <c r="P92" i="1"/>
  <c r="Q92" i="1"/>
  <c r="R92" i="1"/>
  <c r="S92" i="1"/>
  <c r="K93" i="1"/>
  <c r="L93" i="1"/>
  <c r="M93" i="1"/>
  <c r="N93" i="1"/>
  <c r="O93" i="1"/>
  <c r="P93" i="1"/>
  <c r="Q93" i="1"/>
  <c r="R93" i="1"/>
  <c r="S93" i="1"/>
  <c r="K94" i="1"/>
  <c r="R94" i="1" s="1"/>
  <c r="L94" i="1"/>
  <c r="N94" i="1"/>
  <c r="O94" i="1"/>
  <c r="P94" i="1"/>
  <c r="Q94" i="1"/>
  <c r="S94" i="1"/>
  <c r="K95" i="1"/>
  <c r="M95" i="1" s="1"/>
  <c r="L95" i="1"/>
  <c r="N95" i="1"/>
  <c r="O95" i="1"/>
  <c r="P95" i="1"/>
  <c r="Q95" i="1"/>
  <c r="R95" i="1"/>
  <c r="S95" i="1"/>
  <c r="K96" i="1"/>
  <c r="L96" i="1"/>
  <c r="M96" i="1"/>
  <c r="N96" i="1"/>
  <c r="O96" i="1"/>
  <c r="P96" i="1"/>
  <c r="Q96" i="1"/>
  <c r="R96" i="1"/>
  <c r="S96" i="1"/>
  <c r="K97" i="1"/>
  <c r="L97" i="1"/>
  <c r="M97" i="1"/>
  <c r="N97" i="1"/>
  <c r="O97" i="1"/>
  <c r="P97" i="1"/>
  <c r="Q97" i="1"/>
  <c r="R97" i="1"/>
  <c r="S97" i="1"/>
  <c r="K98" i="1"/>
  <c r="R98" i="1" s="1"/>
  <c r="L98" i="1"/>
  <c r="M98" i="1"/>
  <c r="N98" i="1"/>
  <c r="O98" i="1"/>
  <c r="P98" i="1"/>
  <c r="Q98" i="1"/>
  <c r="S98" i="1"/>
  <c r="K99" i="1"/>
  <c r="R99" i="1" s="1"/>
  <c r="L99" i="1"/>
  <c r="N99" i="1"/>
  <c r="O99" i="1"/>
  <c r="P99" i="1"/>
  <c r="Q99" i="1"/>
  <c r="S99" i="1"/>
  <c r="K100" i="1"/>
  <c r="M100" i="1" s="1"/>
  <c r="L100" i="1"/>
  <c r="N100" i="1"/>
  <c r="O100" i="1"/>
  <c r="P100" i="1"/>
  <c r="Q100" i="1"/>
  <c r="R100" i="1"/>
  <c r="S100" i="1"/>
  <c r="K101" i="1"/>
  <c r="L101" i="1"/>
  <c r="M101" i="1"/>
  <c r="N101" i="1"/>
  <c r="O101" i="1"/>
  <c r="P101" i="1"/>
  <c r="Q101" i="1"/>
  <c r="R101" i="1"/>
  <c r="S101" i="1"/>
  <c r="K102" i="1"/>
  <c r="R102" i="1" s="1"/>
  <c r="L102" i="1"/>
  <c r="N102" i="1"/>
  <c r="O102" i="1"/>
  <c r="P102" i="1"/>
  <c r="Q102" i="1"/>
  <c r="S102" i="1"/>
  <c r="K103" i="1"/>
  <c r="M103" i="1" s="1"/>
  <c r="L103" i="1"/>
  <c r="N103" i="1"/>
  <c r="O103" i="1"/>
  <c r="P103" i="1"/>
  <c r="Q103" i="1"/>
  <c r="R103" i="1"/>
  <c r="S103" i="1"/>
  <c r="K104" i="1"/>
  <c r="L104" i="1"/>
  <c r="M104" i="1"/>
  <c r="N104" i="1"/>
  <c r="O104" i="1"/>
  <c r="P104" i="1"/>
  <c r="Q104" i="1"/>
  <c r="R104" i="1"/>
  <c r="S104" i="1"/>
  <c r="K105" i="1"/>
  <c r="L105" i="1"/>
  <c r="M105" i="1"/>
  <c r="N105" i="1"/>
  <c r="O105" i="1"/>
  <c r="P105" i="1"/>
  <c r="Q105" i="1"/>
  <c r="R105" i="1"/>
  <c r="S105" i="1"/>
  <c r="K106" i="1"/>
  <c r="R106" i="1" s="1"/>
  <c r="L106" i="1"/>
  <c r="M106" i="1"/>
  <c r="N106" i="1"/>
  <c r="O106" i="1"/>
  <c r="P106" i="1"/>
  <c r="Q106" i="1"/>
  <c r="S106" i="1"/>
  <c r="K107" i="1"/>
  <c r="R107" i="1" s="1"/>
  <c r="L107" i="1"/>
  <c r="N107" i="1"/>
  <c r="O107" i="1"/>
  <c r="P107" i="1"/>
  <c r="Q107" i="1"/>
  <c r="S107" i="1"/>
  <c r="K108" i="1"/>
  <c r="M108" i="1" s="1"/>
  <c r="L108" i="1"/>
  <c r="N108" i="1"/>
  <c r="O108" i="1"/>
  <c r="P108" i="1"/>
  <c r="Q108" i="1"/>
  <c r="R108" i="1"/>
  <c r="S108" i="1"/>
  <c r="K109" i="1"/>
  <c r="L109" i="1"/>
  <c r="M109" i="1"/>
  <c r="N109" i="1"/>
  <c r="O109" i="1"/>
  <c r="P109" i="1"/>
  <c r="Q109" i="1"/>
  <c r="R109" i="1"/>
  <c r="S109" i="1"/>
  <c r="K110" i="1"/>
  <c r="R110" i="1" s="1"/>
  <c r="L110" i="1"/>
  <c r="N110" i="1"/>
  <c r="O110" i="1"/>
  <c r="P110" i="1"/>
  <c r="Q110" i="1"/>
  <c r="S110" i="1"/>
  <c r="K111" i="1"/>
  <c r="M111" i="1" s="1"/>
  <c r="L111" i="1"/>
  <c r="N111" i="1"/>
  <c r="O111" i="1"/>
  <c r="P111" i="1"/>
  <c r="Q111" i="1"/>
  <c r="R111" i="1"/>
  <c r="S111" i="1"/>
  <c r="K112" i="1"/>
  <c r="L112" i="1"/>
  <c r="M112" i="1"/>
  <c r="N112" i="1"/>
  <c r="O112" i="1"/>
  <c r="P112" i="1"/>
  <c r="Q112" i="1"/>
  <c r="R112" i="1"/>
  <c r="S112" i="1"/>
  <c r="K113" i="1"/>
  <c r="L113" i="1"/>
  <c r="M113" i="1"/>
  <c r="N113" i="1"/>
  <c r="O113" i="1"/>
  <c r="P113" i="1"/>
  <c r="Q113" i="1"/>
  <c r="R113" i="1"/>
  <c r="S113" i="1"/>
  <c r="K114" i="1"/>
  <c r="R114" i="1" s="1"/>
  <c r="L114" i="1"/>
  <c r="M114" i="1"/>
  <c r="N114" i="1"/>
  <c r="O114" i="1"/>
  <c r="P114" i="1"/>
  <c r="Q114" i="1"/>
  <c r="S114" i="1"/>
  <c r="K115" i="1"/>
  <c r="R115" i="1" s="1"/>
  <c r="L115" i="1"/>
  <c r="N115" i="1"/>
  <c r="O115" i="1"/>
  <c r="P115" i="1"/>
  <c r="Q115" i="1"/>
  <c r="S115" i="1"/>
  <c r="K116" i="1"/>
  <c r="M116" i="1" s="1"/>
  <c r="L116" i="1"/>
  <c r="N116" i="1"/>
  <c r="O116" i="1"/>
  <c r="P116" i="1"/>
  <c r="Q116" i="1"/>
  <c r="R116" i="1"/>
  <c r="S116" i="1"/>
  <c r="K117" i="1"/>
  <c r="L117" i="1"/>
  <c r="M117" i="1"/>
  <c r="N117" i="1"/>
  <c r="O117" i="1"/>
  <c r="P117" i="1"/>
  <c r="Q117" i="1"/>
  <c r="R117" i="1"/>
  <c r="S117" i="1"/>
  <c r="K118" i="1"/>
  <c r="R118" i="1" s="1"/>
  <c r="L118" i="1"/>
  <c r="N118" i="1"/>
  <c r="O118" i="1"/>
  <c r="P118" i="1"/>
  <c r="Q118" i="1"/>
  <c r="S118" i="1"/>
  <c r="K119" i="1"/>
  <c r="M119" i="1" s="1"/>
  <c r="L119" i="1"/>
  <c r="N119" i="1"/>
  <c r="O119" i="1"/>
  <c r="P119" i="1"/>
  <c r="Q119" i="1"/>
  <c r="R119" i="1"/>
  <c r="S119" i="1"/>
  <c r="K120" i="1"/>
  <c r="L120" i="1"/>
  <c r="M120" i="1"/>
  <c r="N120" i="1"/>
  <c r="O120" i="1"/>
  <c r="P120" i="1"/>
  <c r="Q120" i="1"/>
  <c r="R120" i="1"/>
  <c r="S120" i="1"/>
  <c r="K121" i="1"/>
  <c r="L121" i="1"/>
  <c r="M121" i="1"/>
  <c r="N121" i="1"/>
  <c r="O121" i="1"/>
  <c r="P121" i="1"/>
  <c r="Q121" i="1"/>
  <c r="R121" i="1"/>
  <c r="S121" i="1"/>
  <c r="K122" i="1"/>
  <c r="R122" i="1" s="1"/>
  <c r="L122" i="1"/>
  <c r="M122" i="1"/>
  <c r="N122" i="1"/>
  <c r="O122" i="1"/>
  <c r="P122" i="1"/>
  <c r="Q122" i="1"/>
  <c r="S122" i="1"/>
  <c r="K123" i="1"/>
  <c r="R123" i="1" s="1"/>
  <c r="L123" i="1"/>
  <c r="N123" i="1"/>
  <c r="O123" i="1"/>
  <c r="P123" i="1"/>
  <c r="Q123" i="1"/>
  <c r="S123" i="1"/>
  <c r="K124" i="1"/>
  <c r="M124" i="1" s="1"/>
  <c r="L124" i="1"/>
  <c r="N124" i="1"/>
  <c r="O124" i="1"/>
  <c r="P124" i="1"/>
  <c r="Q124" i="1"/>
  <c r="R124" i="1"/>
  <c r="S124" i="1"/>
  <c r="K125" i="1"/>
  <c r="L125" i="1"/>
  <c r="M125" i="1"/>
  <c r="N125" i="1"/>
  <c r="O125" i="1"/>
  <c r="P125" i="1"/>
  <c r="Q125" i="1"/>
  <c r="R125" i="1"/>
  <c r="S125" i="1"/>
  <c r="K126" i="1"/>
  <c r="R126" i="1" s="1"/>
  <c r="L126" i="1"/>
  <c r="N126" i="1"/>
  <c r="O126" i="1"/>
  <c r="P126" i="1"/>
  <c r="Q126" i="1"/>
  <c r="S126" i="1"/>
  <c r="K127" i="1"/>
  <c r="M127" i="1" s="1"/>
  <c r="L127" i="1"/>
  <c r="N127" i="1"/>
  <c r="O127" i="1"/>
  <c r="P127" i="1"/>
  <c r="Q127" i="1"/>
  <c r="R127" i="1"/>
  <c r="S127" i="1"/>
  <c r="K128" i="1"/>
  <c r="L128" i="1"/>
  <c r="M128" i="1"/>
  <c r="N128" i="1"/>
  <c r="O128" i="1"/>
  <c r="P128" i="1"/>
  <c r="Q128" i="1"/>
  <c r="R128" i="1"/>
  <c r="S128" i="1"/>
  <c r="K129" i="1"/>
  <c r="L129" i="1"/>
  <c r="M129" i="1"/>
  <c r="N129" i="1"/>
  <c r="O129" i="1"/>
  <c r="P129" i="1"/>
  <c r="Q129" i="1"/>
  <c r="R129" i="1"/>
  <c r="S129" i="1"/>
  <c r="K130" i="1"/>
  <c r="R130" i="1" s="1"/>
  <c r="L130" i="1"/>
  <c r="M130" i="1"/>
  <c r="N130" i="1"/>
  <c r="O130" i="1"/>
  <c r="P130" i="1"/>
  <c r="Q130" i="1"/>
  <c r="S130" i="1"/>
  <c r="K131" i="1"/>
  <c r="R131" i="1" s="1"/>
  <c r="L131" i="1"/>
  <c r="N131" i="1"/>
  <c r="O131" i="1"/>
  <c r="P131" i="1"/>
  <c r="Q131" i="1"/>
  <c r="S131" i="1"/>
  <c r="K132" i="1"/>
  <c r="M132" i="1" s="1"/>
  <c r="L132" i="1"/>
  <c r="N132" i="1"/>
  <c r="O132" i="1"/>
  <c r="P132" i="1"/>
  <c r="Q132" i="1"/>
  <c r="R132" i="1"/>
  <c r="S132" i="1"/>
  <c r="K133" i="1"/>
  <c r="L133" i="1"/>
  <c r="M133" i="1"/>
  <c r="N133" i="1"/>
  <c r="O133" i="1"/>
  <c r="P133" i="1"/>
  <c r="Q133" i="1"/>
  <c r="R133" i="1"/>
  <c r="S133" i="1"/>
  <c r="K134" i="1"/>
  <c r="R134" i="1" s="1"/>
  <c r="L134" i="1"/>
  <c r="N134" i="1"/>
  <c r="O134" i="1"/>
  <c r="P134" i="1"/>
  <c r="Q134" i="1"/>
  <c r="S134" i="1"/>
  <c r="K135" i="1"/>
  <c r="M135" i="1" s="1"/>
  <c r="L135" i="1"/>
  <c r="N135" i="1"/>
  <c r="O135" i="1"/>
  <c r="P135" i="1"/>
  <c r="Q135" i="1"/>
  <c r="R135" i="1"/>
  <c r="S135" i="1"/>
  <c r="K136" i="1"/>
  <c r="L136" i="1"/>
  <c r="M136" i="1"/>
  <c r="N136" i="1"/>
  <c r="O136" i="1"/>
  <c r="P136" i="1"/>
  <c r="Q136" i="1"/>
  <c r="R136" i="1"/>
  <c r="S136" i="1"/>
  <c r="K137" i="1"/>
  <c r="L137" i="1"/>
  <c r="M137" i="1"/>
  <c r="N137" i="1"/>
  <c r="O137" i="1"/>
  <c r="P137" i="1"/>
  <c r="Q137" i="1"/>
  <c r="R137" i="1"/>
  <c r="S137" i="1"/>
  <c r="K138" i="1"/>
  <c r="R138" i="1" s="1"/>
  <c r="L138" i="1"/>
  <c r="M138" i="1"/>
  <c r="N138" i="1"/>
  <c r="O138" i="1"/>
  <c r="P138" i="1"/>
  <c r="Q138" i="1"/>
  <c r="S138" i="1"/>
  <c r="K139" i="1"/>
  <c r="R139" i="1" s="1"/>
  <c r="L139" i="1"/>
  <c r="N139" i="1"/>
  <c r="O139" i="1"/>
  <c r="P139" i="1"/>
  <c r="Q139" i="1"/>
  <c r="S139" i="1"/>
  <c r="K140" i="1"/>
  <c r="M140" i="1" s="1"/>
  <c r="L140" i="1"/>
  <c r="N140" i="1"/>
  <c r="O140" i="1"/>
  <c r="P140" i="1"/>
  <c r="Q140" i="1"/>
  <c r="R140" i="1"/>
  <c r="S140" i="1"/>
  <c r="K141" i="1"/>
  <c r="L141" i="1"/>
  <c r="M141" i="1"/>
  <c r="N141" i="1"/>
  <c r="O141" i="1"/>
  <c r="P141" i="1"/>
  <c r="Q141" i="1"/>
  <c r="R141" i="1"/>
  <c r="S141" i="1"/>
  <c r="K142" i="1"/>
  <c r="R142" i="1" s="1"/>
  <c r="L142" i="1"/>
  <c r="N142" i="1"/>
  <c r="O142" i="1"/>
  <c r="P142" i="1"/>
  <c r="Q142" i="1"/>
  <c r="S142" i="1"/>
  <c r="K143" i="1"/>
  <c r="R143" i="1" s="1"/>
  <c r="L143" i="1"/>
  <c r="N143" i="1"/>
  <c r="O143" i="1"/>
  <c r="P143" i="1"/>
  <c r="Q143" i="1"/>
  <c r="S143" i="1"/>
  <c r="K144" i="1"/>
  <c r="L144" i="1"/>
  <c r="M144" i="1"/>
  <c r="N144" i="1"/>
  <c r="O144" i="1"/>
  <c r="P144" i="1"/>
  <c r="Q144" i="1"/>
  <c r="R144" i="1"/>
  <c r="S144" i="1"/>
  <c r="K145" i="1"/>
  <c r="L145" i="1"/>
  <c r="M145" i="1"/>
  <c r="N145" i="1"/>
  <c r="O145" i="1"/>
  <c r="P145" i="1"/>
  <c r="Q145" i="1"/>
  <c r="R145" i="1"/>
  <c r="S145" i="1"/>
  <c r="K146" i="1"/>
  <c r="R146" i="1" s="1"/>
  <c r="L146" i="1"/>
  <c r="M146" i="1"/>
  <c r="N146" i="1"/>
  <c r="O146" i="1"/>
  <c r="P146" i="1"/>
  <c r="Q146" i="1"/>
  <c r="S146" i="1"/>
  <c r="K147" i="1"/>
  <c r="R147" i="1" s="1"/>
  <c r="L147" i="1"/>
  <c r="N147" i="1"/>
  <c r="O147" i="1"/>
  <c r="P147" i="1"/>
  <c r="Q147" i="1"/>
  <c r="S147" i="1"/>
  <c r="K148" i="1"/>
  <c r="M148" i="1" s="1"/>
  <c r="L148" i="1"/>
  <c r="N148" i="1"/>
  <c r="O148" i="1"/>
  <c r="P148" i="1"/>
  <c r="Q148" i="1"/>
  <c r="R148" i="1"/>
  <c r="S148" i="1"/>
  <c r="K149" i="1"/>
  <c r="L149" i="1"/>
  <c r="M149" i="1"/>
  <c r="N149" i="1"/>
  <c r="O149" i="1"/>
  <c r="P149" i="1"/>
  <c r="Q149" i="1"/>
  <c r="R149" i="1"/>
  <c r="S149" i="1"/>
  <c r="K150" i="1"/>
  <c r="R150" i="1" s="1"/>
  <c r="L150" i="1"/>
  <c r="N150" i="1"/>
  <c r="O150" i="1"/>
  <c r="P150" i="1"/>
  <c r="Q150" i="1"/>
  <c r="S150" i="1"/>
  <c r="K151" i="1"/>
  <c r="R151" i="1" s="1"/>
  <c r="L151" i="1"/>
  <c r="N151" i="1"/>
  <c r="O151" i="1"/>
  <c r="P151" i="1"/>
  <c r="Q151" i="1"/>
  <c r="S151" i="1"/>
  <c r="K152" i="1"/>
  <c r="L152" i="1"/>
  <c r="M152" i="1"/>
  <c r="N152" i="1"/>
  <c r="O152" i="1"/>
  <c r="P152" i="1"/>
  <c r="Q152" i="1"/>
  <c r="R152" i="1"/>
  <c r="S152" i="1"/>
  <c r="K153" i="1"/>
  <c r="L153" i="1"/>
  <c r="M153" i="1"/>
  <c r="N153" i="1"/>
  <c r="O153" i="1"/>
  <c r="P153" i="1"/>
  <c r="Q153" i="1"/>
  <c r="R153" i="1"/>
  <c r="S153" i="1"/>
  <c r="K154" i="1"/>
  <c r="R154" i="1" s="1"/>
  <c r="L154" i="1"/>
  <c r="M154" i="1"/>
  <c r="N154" i="1"/>
  <c r="O154" i="1"/>
  <c r="P154" i="1"/>
  <c r="Q154" i="1"/>
  <c r="S154" i="1"/>
  <c r="K155" i="1"/>
  <c r="R155" i="1" s="1"/>
  <c r="L155" i="1"/>
  <c r="N155" i="1"/>
  <c r="O155" i="1"/>
  <c r="P155" i="1"/>
  <c r="Q155" i="1"/>
  <c r="S155" i="1"/>
  <c r="K156" i="1"/>
  <c r="M156" i="1" s="1"/>
  <c r="L156" i="1"/>
  <c r="N156" i="1"/>
  <c r="O156" i="1"/>
  <c r="P156" i="1"/>
  <c r="Q156" i="1"/>
  <c r="R156" i="1"/>
  <c r="S156" i="1"/>
  <c r="K157" i="1"/>
  <c r="L157" i="1"/>
  <c r="M157" i="1"/>
  <c r="N157" i="1"/>
  <c r="O157" i="1"/>
  <c r="P157" i="1"/>
  <c r="Q157" i="1"/>
  <c r="R157" i="1"/>
  <c r="S157" i="1"/>
  <c r="K158" i="1"/>
  <c r="R158" i="1" s="1"/>
  <c r="L158" i="1"/>
  <c r="N158" i="1"/>
  <c r="O158" i="1"/>
  <c r="P158" i="1"/>
  <c r="Q158" i="1"/>
  <c r="S158" i="1"/>
  <c r="K159" i="1"/>
  <c r="R159" i="1" s="1"/>
  <c r="L159" i="1"/>
  <c r="N159" i="1"/>
  <c r="O159" i="1"/>
  <c r="P159" i="1"/>
  <c r="Q159" i="1"/>
  <c r="S159" i="1"/>
  <c r="K160" i="1"/>
  <c r="L160" i="1"/>
  <c r="M160" i="1"/>
  <c r="N160" i="1"/>
  <c r="O160" i="1"/>
  <c r="P160" i="1"/>
  <c r="Q160" i="1"/>
  <c r="R160" i="1"/>
  <c r="S160" i="1"/>
  <c r="K161" i="1"/>
  <c r="L161" i="1"/>
  <c r="M161" i="1"/>
  <c r="N161" i="1"/>
  <c r="O161" i="1"/>
  <c r="P161" i="1"/>
  <c r="Q161" i="1"/>
  <c r="R161" i="1"/>
  <c r="S161" i="1"/>
  <c r="K162" i="1"/>
  <c r="R162" i="1" s="1"/>
  <c r="L162" i="1"/>
  <c r="M162" i="1"/>
  <c r="N162" i="1"/>
  <c r="O162" i="1"/>
  <c r="P162" i="1"/>
  <c r="Q162" i="1"/>
  <c r="S162" i="1"/>
  <c r="K163" i="1"/>
  <c r="R163" i="1" s="1"/>
  <c r="L163" i="1"/>
  <c r="N163" i="1"/>
  <c r="O163" i="1"/>
  <c r="P163" i="1"/>
  <c r="Q163" i="1"/>
  <c r="S163" i="1"/>
  <c r="K164" i="1"/>
  <c r="M164" i="1" s="1"/>
  <c r="L164" i="1"/>
  <c r="N164" i="1"/>
  <c r="O164" i="1"/>
  <c r="P164" i="1"/>
  <c r="Q164" i="1"/>
  <c r="R164" i="1"/>
  <c r="S164" i="1"/>
  <c r="K165" i="1"/>
  <c r="L165" i="1"/>
  <c r="M165" i="1"/>
  <c r="N165" i="1"/>
  <c r="O165" i="1"/>
  <c r="P165" i="1"/>
  <c r="Q165" i="1"/>
  <c r="R165" i="1"/>
  <c r="S165" i="1"/>
  <c r="K166" i="1"/>
  <c r="R166" i="1" s="1"/>
  <c r="L166" i="1"/>
  <c r="N166" i="1"/>
  <c r="O166" i="1"/>
  <c r="P166" i="1"/>
  <c r="Q166" i="1"/>
  <c r="S166" i="1"/>
  <c r="K167" i="1"/>
  <c r="R167" i="1" s="1"/>
  <c r="L167" i="1"/>
  <c r="N167" i="1"/>
  <c r="O167" i="1"/>
  <c r="P167" i="1"/>
  <c r="Q167" i="1"/>
  <c r="S167" i="1"/>
  <c r="K168" i="1"/>
  <c r="L168" i="1"/>
  <c r="M168" i="1"/>
  <c r="N168" i="1"/>
  <c r="O168" i="1"/>
  <c r="P168" i="1"/>
  <c r="Q168" i="1"/>
  <c r="R168" i="1"/>
  <c r="S168" i="1"/>
  <c r="K169" i="1"/>
  <c r="L169" i="1"/>
  <c r="M169" i="1"/>
  <c r="N169" i="1"/>
  <c r="O169" i="1"/>
  <c r="P169" i="1"/>
  <c r="Q169" i="1"/>
  <c r="R169" i="1"/>
  <c r="S169" i="1"/>
  <c r="K170" i="1"/>
  <c r="R170" i="1" s="1"/>
  <c r="L170" i="1"/>
  <c r="M170" i="1"/>
  <c r="N170" i="1"/>
  <c r="O170" i="1"/>
  <c r="P170" i="1"/>
  <c r="Q170" i="1"/>
  <c r="S170" i="1"/>
  <c r="K171" i="1"/>
  <c r="R171" i="1" s="1"/>
  <c r="L171" i="1"/>
  <c r="N171" i="1"/>
  <c r="O171" i="1"/>
  <c r="P171" i="1"/>
  <c r="Q171" i="1"/>
  <c r="S171" i="1"/>
  <c r="K172" i="1"/>
  <c r="M172" i="1" s="1"/>
  <c r="L172" i="1"/>
  <c r="N172" i="1"/>
  <c r="O172" i="1"/>
  <c r="P172" i="1"/>
  <c r="Q172" i="1"/>
  <c r="R172" i="1"/>
  <c r="S172" i="1"/>
  <c r="K173" i="1"/>
  <c r="L173" i="1"/>
  <c r="M173" i="1"/>
  <c r="N173" i="1"/>
  <c r="O173" i="1"/>
  <c r="P173" i="1"/>
  <c r="Q173" i="1"/>
  <c r="R173" i="1"/>
  <c r="S173" i="1"/>
  <c r="K174" i="1"/>
  <c r="R174" i="1" s="1"/>
  <c r="L174" i="1"/>
  <c r="N174" i="1"/>
  <c r="O174" i="1"/>
  <c r="P174" i="1"/>
  <c r="Q174" i="1"/>
  <c r="S174" i="1"/>
  <c r="K175" i="1"/>
  <c r="R175" i="1" s="1"/>
  <c r="L175" i="1"/>
  <c r="N175" i="1"/>
  <c r="O175" i="1"/>
  <c r="P175" i="1"/>
  <c r="Q175" i="1"/>
  <c r="S175" i="1"/>
  <c r="K176" i="1"/>
  <c r="L176" i="1"/>
  <c r="M176" i="1"/>
  <c r="N176" i="1"/>
  <c r="O176" i="1"/>
  <c r="P176" i="1"/>
  <c r="Q176" i="1"/>
  <c r="R176" i="1"/>
  <c r="S176" i="1"/>
  <c r="K177" i="1"/>
  <c r="L177" i="1"/>
  <c r="M177" i="1"/>
  <c r="N177" i="1"/>
  <c r="O177" i="1"/>
  <c r="P177" i="1"/>
  <c r="Q177" i="1"/>
  <c r="R177" i="1"/>
  <c r="S177" i="1"/>
  <c r="K178" i="1"/>
  <c r="R178" i="1" s="1"/>
  <c r="L178" i="1"/>
  <c r="M178" i="1"/>
  <c r="N178" i="1"/>
  <c r="O178" i="1"/>
  <c r="P178" i="1"/>
  <c r="Q178" i="1"/>
  <c r="S178" i="1"/>
  <c r="K179" i="1"/>
  <c r="R179" i="1" s="1"/>
  <c r="L179" i="1"/>
  <c r="N179" i="1"/>
  <c r="O179" i="1"/>
  <c r="P179" i="1"/>
  <c r="Q179" i="1"/>
  <c r="S179" i="1"/>
  <c r="K180" i="1"/>
  <c r="M180" i="1" s="1"/>
  <c r="L180" i="1"/>
  <c r="N180" i="1"/>
  <c r="O180" i="1"/>
  <c r="P180" i="1"/>
  <c r="Q180" i="1"/>
  <c r="R180" i="1"/>
  <c r="S180" i="1"/>
  <c r="K181" i="1"/>
  <c r="L181" i="1"/>
  <c r="M181" i="1"/>
  <c r="N181" i="1"/>
  <c r="O181" i="1"/>
  <c r="P181" i="1"/>
  <c r="Q181" i="1"/>
  <c r="R181" i="1"/>
  <c r="S181" i="1"/>
  <c r="K182" i="1"/>
  <c r="R182" i="1" s="1"/>
  <c r="L182" i="1"/>
  <c r="M182" i="1"/>
  <c r="N182" i="1"/>
  <c r="O182" i="1"/>
  <c r="P182" i="1"/>
  <c r="Q182" i="1"/>
  <c r="S182" i="1"/>
  <c r="K183" i="1"/>
  <c r="R183" i="1" s="1"/>
  <c r="L183" i="1"/>
  <c r="N183" i="1"/>
  <c r="O183" i="1"/>
  <c r="P183" i="1"/>
  <c r="Q183" i="1"/>
  <c r="S183" i="1"/>
  <c r="K184" i="1"/>
  <c r="L184" i="1"/>
  <c r="M184" i="1"/>
  <c r="N184" i="1"/>
  <c r="O184" i="1"/>
  <c r="P184" i="1"/>
  <c r="Q184" i="1"/>
  <c r="R184" i="1"/>
  <c r="S184" i="1"/>
  <c r="K185" i="1"/>
  <c r="L185" i="1"/>
  <c r="M185" i="1"/>
  <c r="N185" i="1"/>
  <c r="O185" i="1"/>
  <c r="P185" i="1"/>
  <c r="Q185" i="1"/>
  <c r="R185" i="1"/>
  <c r="S185" i="1"/>
  <c r="K186" i="1"/>
  <c r="R186" i="1" s="1"/>
  <c r="L186" i="1"/>
  <c r="M186" i="1"/>
  <c r="N186" i="1"/>
  <c r="O186" i="1"/>
  <c r="P186" i="1"/>
  <c r="Q186" i="1"/>
  <c r="S186" i="1"/>
  <c r="K187" i="1"/>
  <c r="R187" i="1" s="1"/>
  <c r="L187" i="1"/>
  <c r="N187" i="1"/>
  <c r="O187" i="1"/>
  <c r="P187" i="1"/>
  <c r="Q187" i="1"/>
  <c r="S187" i="1"/>
  <c r="K188" i="1"/>
  <c r="M188" i="1" s="1"/>
  <c r="L188" i="1"/>
  <c r="N188" i="1"/>
  <c r="O188" i="1"/>
  <c r="P188" i="1"/>
  <c r="Q188" i="1"/>
  <c r="R188" i="1"/>
  <c r="S188" i="1"/>
  <c r="K189" i="1"/>
  <c r="L189" i="1"/>
  <c r="M189" i="1"/>
  <c r="N189" i="1"/>
  <c r="O189" i="1"/>
  <c r="P189" i="1"/>
  <c r="Q189" i="1"/>
  <c r="R189" i="1"/>
  <c r="S189" i="1"/>
  <c r="K190" i="1"/>
  <c r="R190" i="1" s="1"/>
  <c r="L190" i="1"/>
  <c r="M190" i="1"/>
  <c r="N190" i="1"/>
  <c r="O190" i="1"/>
  <c r="P190" i="1"/>
  <c r="Q190" i="1"/>
  <c r="S190" i="1"/>
  <c r="K191" i="1"/>
  <c r="R191" i="1" s="1"/>
  <c r="L191" i="1"/>
  <c r="N191" i="1"/>
  <c r="O191" i="1"/>
  <c r="P191" i="1"/>
  <c r="Q191" i="1"/>
  <c r="S191" i="1"/>
  <c r="K192" i="1"/>
  <c r="L192" i="1"/>
  <c r="M192" i="1"/>
  <c r="N192" i="1"/>
  <c r="O192" i="1"/>
  <c r="P192" i="1"/>
  <c r="Q192" i="1"/>
  <c r="R192" i="1"/>
  <c r="S192" i="1"/>
  <c r="K193" i="1"/>
  <c r="L193" i="1"/>
  <c r="M193" i="1"/>
  <c r="N193" i="1"/>
  <c r="O193" i="1"/>
  <c r="P193" i="1"/>
  <c r="Q193" i="1"/>
  <c r="R193" i="1"/>
  <c r="S193" i="1"/>
  <c r="K194" i="1"/>
  <c r="R194" i="1" s="1"/>
  <c r="L194" i="1"/>
  <c r="M194" i="1"/>
  <c r="N194" i="1"/>
  <c r="O194" i="1"/>
  <c r="P194" i="1"/>
  <c r="Q194" i="1"/>
  <c r="S194" i="1"/>
  <c r="K195" i="1"/>
  <c r="R195" i="1" s="1"/>
  <c r="L195" i="1"/>
  <c r="N195" i="1"/>
  <c r="O195" i="1"/>
  <c r="P195" i="1"/>
  <c r="Q195" i="1"/>
  <c r="S195" i="1"/>
  <c r="K196" i="1"/>
  <c r="M196" i="1" s="1"/>
  <c r="L196" i="1"/>
  <c r="N196" i="1"/>
  <c r="O196" i="1"/>
  <c r="P196" i="1"/>
  <c r="Q196" i="1"/>
  <c r="R196" i="1"/>
  <c r="S196" i="1"/>
  <c r="K197" i="1"/>
  <c r="L197" i="1"/>
  <c r="M197" i="1"/>
  <c r="N197" i="1"/>
  <c r="O197" i="1"/>
  <c r="P197" i="1"/>
  <c r="Q197" i="1"/>
  <c r="R197" i="1"/>
  <c r="S197" i="1"/>
  <c r="K198" i="1"/>
  <c r="R198" i="1" s="1"/>
  <c r="L198" i="1"/>
  <c r="M198" i="1"/>
  <c r="N198" i="1"/>
  <c r="O198" i="1"/>
  <c r="P198" i="1"/>
  <c r="Q198" i="1"/>
  <c r="S198" i="1"/>
  <c r="K199" i="1"/>
  <c r="R199" i="1" s="1"/>
  <c r="L199" i="1"/>
  <c r="N199" i="1"/>
  <c r="O199" i="1"/>
  <c r="P199" i="1"/>
  <c r="Q199" i="1"/>
  <c r="S199" i="1"/>
  <c r="K200" i="1"/>
  <c r="L200" i="1"/>
  <c r="M200" i="1"/>
  <c r="N200" i="1"/>
  <c r="O200" i="1"/>
  <c r="P200" i="1"/>
  <c r="Q200" i="1"/>
  <c r="R200" i="1"/>
  <c r="S200" i="1"/>
  <c r="K201" i="1"/>
  <c r="L201" i="1"/>
  <c r="M201" i="1"/>
  <c r="N201" i="1"/>
  <c r="O201" i="1"/>
  <c r="P201" i="1"/>
  <c r="Q201" i="1"/>
  <c r="R201" i="1"/>
  <c r="S201" i="1"/>
  <c r="K202" i="1"/>
  <c r="R202" i="1" s="1"/>
  <c r="L202" i="1"/>
  <c r="M202" i="1"/>
  <c r="N202" i="1"/>
  <c r="O202" i="1"/>
  <c r="P202" i="1"/>
  <c r="Q202" i="1"/>
  <c r="S202" i="1"/>
  <c r="K203" i="1"/>
  <c r="R203" i="1" s="1"/>
  <c r="L203" i="1"/>
  <c r="N203" i="1"/>
  <c r="O203" i="1"/>
  <c r="P203" i="1"/>
  <c r="Q203" i="1"/>
  <c r="S203" i="1"/>
  <c r="K204" i="1"/>
  <c r="M204" i="1" s="1"/>
  <c r="L204" i="1"/>
  <c r="N204" i="1"/>
  <c r="O204" i="1"/>
  <c r="P204" i="1"/>
  <c r="Q204" i="1"/>
  <c r="R204" i="1"/>
  <c r="S204" i="1"/>
  <c r="K205" i="1"/>
  <c r="L205" i="1"/>
  <c r="M205" i="1"/>
  <c r="N205" i="1"/>
  <c r="O205" i="1"/>
  <c r="P205" i="1"/>
  <c r="Q205" i="1"/>
  <c r="R205" i="1"/>
  <c r="S205" i="1"/>
  <c r="K206" i="1"/>
  <c r="R206" i="1" s="1"/>
  <c r="L206" i="1"/>
  <c r="M206" i="1"/>
  <c r="N206" i="1"/>
  <c r="O206" i="1"/>
  <c r="P206" i="1"/>
  <c r="Q206" i="1"/>
  <c r="S206" i="1"/>
  <c r="K207" i="1"/>
  <c r="R207" i="1" s="1"/>
  <c r="L207" i="1"/>
  <c r="N207" i="1"/>
  <c r="O207" i="1"/>
  <c r="P207" i="1"/>
  <c r="Q207" i="1"/>
  <c r="S207" i="1"/>
  <c r="K208" i="1"/>
  <c r="L208" i="1"/>
  <c r="M208" i="1"/>
  <c r="N208" i="1"/>
  <c r="O208" i="1"/>
  <c r="P208" i="1"/>
  <c r="Q208" i="1"/>
  <c r="R208" i="1"/>
  <c r="S208" i="1"/>
  <c r="K209" i="1"/>
  <c r="L209" i="1"/>
  <c r="M209" i="1"/>
  <c r="N209" i="1"/>
  <c r="O209" i="1"/>
  <c r="P209" i="1"/>
  <c r="Q209" i="1"/>
  <c r="R209" i="1"/>
  <c r="S209" i="1"/>
  <c r="K210" i="1"/>
  <c r="R210" i="1" s="1"/>
  <c r="L210" i="1"/>
  <c r="M210" i="1"/>
  <c r="N210" i="1"/>
  <c r="O210" i="1"/>
  <c r="P210" i="1"/>
  <c r="Q210" i="1"/>
  <c r="S210" i="1"/>
  <c r="K211" i="1"/>
  <c r="R211" i="1" s="1"/>
  <c r="L211" i="1"/>
  <c r="N211" i="1"/>
  <c r="O211" i="1"/>
  <c r="P211" i="1"/>
  <c r="Q211" i="1"/>
  <c r="S211" i="1"/>
  <c r="K212" i="1"/>
  <c r="M212" i="1" s="1"/>
  <c r="L212" i="1"/>
  <c r="N212" i="1"/>
  <c r="O212" i="1"/>
  <c r="P212" i="1"/>
  <c r="Q212" i="1"/>
  <c r="R212" i="1"/>
  <c r="S212" i="1"/>
  <c r="K213" i="1"/>
  <c r="L213" i="1"/>
  <c r="M213" i="1"/>
  <c r="N213" i="1"/>
  <c r="O213" i="1"/>
  <c r="P213" i="1"/>
  <c r="Q213" i="1"/>
  <c r="R213" i="1"/>
  <c r="S213" i="1"/>
  <c r="K214" i="1"/>
  <c r="R214" i="1" s="1"/>
  <c r="L214" i="1"/>
  <c r="M214" i="1"/>
  <c r="N214" i="1"/>
  <c r="O214" i="1"/>
  <c r="P214" i="1"/>
  <c r="Q214" i="1"/>
  <c r="S214" i="1"/>
  <c r="K215" i="1"/>
  <c r="R215" i="1" s="1"/>
  <c r="L215" i="1"/>
  <c r="N215" i="1"/>
  <c r="O215" i="1"/>
  <c r="P215" i="1"/>
  <c r="Q215" i="1"/>
  <c r="S215" i="1"/>
  <c r="K216" i="1"/>
  <c r="L216" i="1"/>
  <c r="M216" i="1"/>
  <c r="N216" i="1"/>
  <c r="O216" i="1"/>
  <c r="P216" i="1"/>
  <c r="Q216" i="1"/>
  <c r="R216" i="1"/>
  <c r="S216" i="1"/>
  <c r="K217" i="1"/>
  <c r="L217" i="1"/>
  <c r="M217" i="1"/>
  <c r="N217" i="1"/>
  <c r="O217" i="1"/>
  <c r="P217" i="1"/>
  <c r="Q217" i="1"/>
  <c r="R217" i="1"/>
  <c r="S217" i="1"/>
  <c r="K218" i="1"/>
  <c r="R218" i="1" s="1"/>
  <c r="L218" i="1"/>
  <c r="M218" i="1"/>
  <c r="N218" i="1"/>
  <c r="O218" i="1"/>
  <c r="P218" i="1"/>
  <c r="Q218" i="1"/>
  <c r="S218" i="1"/>
  <c r="K219" i="1"/>
  <c r="R219" i="1" s="1"/>
  <c r="L219" i="1"/>
  <c r="N219" i="1"/>
  <c r="O219" i="1"/>
  <c r="P219" i="1"/>
  <c r="Q219" i="1"/>
  <c r="S219" i="1"/>
  <c r="K220" i="1"/>
  <c r="M220" i="1" s="1"/>
  <c r="L220" i="1"/>
  <c r="N220" i="1"/>
  <c r="O220" i="1"/>
  <c r="P220" i="1"/>
  <c r="Q220" i="1"/>
  <c r="R220" i="1"/>
  <c r="S220" i="1"/>
  <c r="K221" i="1"/>
  <c r="L221" i="1"/>
  <c r="M221" i="1"/>
  <c r="N221" i="1"/>
  <c r="O221" i="1"/>
  <c r="P221" i="1"/>
  <c r="Q221" i="1"/>
  <c r="R221" i="1"/>
  <c r="S221" i="1"/>
  <c r="K222" i="1"/>
  <c r="R222" i="1" s="1"/>
  <c r="L222" i="1"/>
  <c r="M222" i="1"/>
  <c r="N222" i="1"/>
  <c r="O222" i="1"/>
  <c r="P222" i="1"/>
  <c r="Q222" i="1"/>
  <c r="S222" i="1"/>
  <c r="K223" i="1"/>
  <c r="R223" i="1" s="1"/>
  <c r="L223" i="1"/>
  <c r="N223" i="1"/>
  <c r="O223" i="1"/>
  <c r="P223" i="1"/>
  <c r="Q223" i="1"/>
  <c r="S223" i="1"/>
  <c r="K224" i="1"/>
  <c r="L224" i="1"/>
  <c r="M224" i="1"/>
  <c r="N224" i="1"/>
  <c r="O224" i="1"/>
  <c r="P224" i="1"/>
  <c r="Q224" i="1"/>
  <c r="R224" i="1"/>
  <c r="S224" i="1"/>
  <c r="K225" i="1"/>
  <c r="L225" i="1"/>
  <c r="M225" i="1"/>
  <c r="N225" i="1"/>
  <c r="O225" i="1"/>
  <c r="P225" i="1"/>
  <c r="Q225" i="1"/>
  <c r="R225" i="1"/>
  <c r="S225" i="1"/>
  <c r="K226" i="1"/>
  <c r="R226" i="1" s="1"/>
  <c r="L226" i="1"/>
  <c r="M226" i="1"/>
  <c r="N226" i="1"/>
  <c r="O226" i="1"/>
  <c r="P226" i="1"/>
  <c r="Q226" i="1"/>
  <c r="S226" i="1"/>
  <c r="K227" i="1"/>
  <c r="L227" i="1"/>
  <c r="N227" i="1"/>
  <c r="O227" i="1"/>
  <c r="P227" i="1"/>
  <c r="Q227" i="1"/>
  <c r="S227" i="1"/>
  <c r="K228" i="1"/>
  <c r="M228" i="1" s="1"/>
  <c r="L228" i="1"/>
  <c r="N228" i="1"/>
  <c r="O228" i="1"/>
  <c r="P228" i="1"/>
  <c r="Q228" i="1"/>
  <c r="R228" i="1"/>
  <c r="S228" i="1"/>
  <c r="K229" i="1"/>
  <c r="L229" i="1"/>
  <c r="M229" i="1"/>
  <c r="N229" i="1"/>
  <c r="O229" i="1"/>
  <c r="P229" i="1"/>
  <c r="Q229" i="1"/>
  <c r="R229" i="1"/>
  <c r="S229" i="1"/>
  <c r="K230" i="1"/>
  <c r="R230" i="1" s="1"/>
  <c r="L230" i="1"/>
  <c r="M230" i="1"/>
  <c r="N230" i="1"/>
  <c r="O230" i="1"/>
  <c r="P230" i="1"/>
  <c r="Q230" i="1"/>
  <c r="S230" i="1"/>
  <c r="K231" i="1"/>
  <c r="R231" i="1" s="1"/>
  <c r="L231" i="1"/>
  <c r="N231" i="1"/>
  <c r="O231" i="1"/>
  <c r="P231" i="1"/>
  <c r="Q231" i="1"/>
  <c r="S231" i="1"/>
  <c r="K232" i="1"/>
  <c r="L232" i="1"/>
  <c r="M232" i="1"/>
  <c r="N232" i="1"/>
  <c r="O232" i="1"/>
  <c r="P232" i="1"/>
  <c r="Q232" i="1"/>
  <c r="R232" i="1"/>
  <c r="S232" i="1"/>
  <c r="K233" i="1"/>
  <c r="L233" i="1"/>
  <c r="M233" i="1"/>
  <c r="N233" i="1"/>
  <c r="O233" i="1"/>
  <c r="P233" i="1"/>
  <c r="Q233" i="1"/>
  <c r="R233" i="1"/>
  <c r="S233" i="1"/>
  <c r="K234" i="1"/>
  <c r="R234" i="1" s="1"/>
  <c r="L234" i="1"/>
  <c r="M234" i="1"/>
  <c r="N234" i="1"/>
  <c r="O234" i="1"/>
  <c r="P234" i="1"/>
  <c r="Q234" i="1"/>
  <c r="S234" i="1"/>
  <c r="K235" i="1"/>
  <c r="L235" i="1"/>
  <c r="N235" i="1"/>
  <c r="O235" i="1"/>
  <c r="P235" i="1"/>
  <c r="Q235" i="1"/>
  <c r="S235" i="1"/>
  <c r="K236" i="1"/>
  <c r="M236" i="1" s="1"/>
  <c r="L236" i="1"/>
  <c r="N236" i="1"/>
  <c r="O236" i="1"/>
  <c r="P236" i="1"/>
  <c r="Q236" i="1"/>
  <c r="R236" i="1"/>
  <c r="S236" i="1"/>
  <c r="K237" i="1"/>
  <c r="L237" i="1"/>
  <c r="M237" i="1"/>
  <c r="N237" i="1"/>
  <c r="O237" i="1"/>
  <c r="P237" i="1"/>
  <c r="Q237" i="1"/>
  <c r="R237" i="1"/>
  <c r="S237" i="1"/>
  <c r="K238" i="1"/>
  <c r="R238" i="1" s="1"/>
  <c r="L238" i="1"/>
  <c r="M238" i="1"/>
  <c r="N238" i="1"/>
  <c r="O238" i="1"/>
  <c r="P238" i="1"/>
  <c r="Q238" i="1"/>
  <c r="S238" i="1"/>
  <c r="K239" i="1"/>
  <c r="R239" i="1" s="1"/>
  <c r="L239" i="1"/>
  <c r="N239" i="1"/>
  <c r="O239" i="1"/>
  <c r="P239" i="1"/>
  <c r="Q239" i="1"/>
  <c r="S239" i="1"/>
  <c r="K240" i="1"/>
  <c r="L240" i="1"/>
  <c r="M240" i="1"/>
  <c r="N240" i="1"/>
  <c r="O240" i="1"/>
  <c r="P240" i="1"/>
  <c r="Q240" i="1"/>
  <c r="R240" i="1"/>
  <c r="S240" i="1"/>
  <c r="K241" i="1"/>
  <c r="L241" i="1"/>
  <c r="M241" i="1"/>
  <c r="N241" i="1"/>
  <c r="O241" i="1"/>
  <c r="P241" i="1"/>
  <c r="Q241" i="1"/>
  <c r="R241" i="1"/>
  <c r="S241" i="1"/>
  <c r="K242" i="1"/>
  <c r="R242" i="1" s="1"/>
  <c r="L242" i="1"/>
  <c r="M242" i="1"/>
  <c r="N242" i="1"/>
  <c r="O242" i="1"/>
  <c r="P242" i="1"/>
  <c r="Q242" i="1"/>
  <c r="S242" i="1"/>
  <c r="K243" i="1"/>
  <c r="L243" i="1"/>
  <c r="N243" i="1"/>
  <c r="O243" i="1"/>
  <c r="P243" i="1"/>
  <c r="Q243" i="1"/>
  <c r="S243" i="1"/>
  <c r="K244" i="1"/>
  <c r="M244" i="1" s="1"/>
  <c r="L244" i="1"/>
  <c r="N244" i="1"/>
  <c r="O244" i="1"/>
  <c r="P244" i="1"/>
  <c r="Q244" i="1"/>
  <c r="R244" i="1"/>
  <c r="S244" i="1"/>
  <c r="K245" i="1"/>
  <c r="L245" i="1"/>
  <c r="M245" i="1"/>
  <c r="N245" i="1"/>
  <c r="O245" i="1"/>
  <c r="P245" i="1"/>
  <c r="Q245" i="1"/>
  <c r="R245" i="1"/>
  <c r="S245" i="1"/>
  <c r="K246" i="1"/>
  <c r="R246" i="1" s="1"/>
  <c r="L246" i="1"/>
  <c r="M246" i="1"/>
  <c r="N246" i="1"/>
  <c r="O246" i="1"/>
  <c r="P246" i="1"/>
  <c r="Q246" i="1"/>
  <c r="S246" i="1"/>
  <c r="K247" i="1"/>
  <c r="R247" i="1" s="1"/>
  <c r="L247" i="1"/>
  <c r="N247" i="1"/>
  <c r="O247" i="1"/>
  <c r="P247" i="1"/>
  <c r="Q247" i="1"/>
  <c r="S247" i="1"/>
  <c r="K248" i="1"/>
  <c r="L248" i="1"/>
  <c r="M248" i="1"/>
  <c r="N248" i="1"/>
  <c r="O248" i="1"/>
  <c r="P248" i="1"/>
  <c r="Q248" i="1"/>
  <c r="R248" i="1"/>
  <c r="S248" i="1"/>
  <c r="K249" i="1"/>
  <c r="L249" i="1"/>
  <c r="M249" i="1"/>
  <c r="N249" i="1"/>
  <c r="O249" i="1"/>
  <c r="P249" i="1"/>
  <c r="Q249" i="1"/>
  <c r="R249" i="1"/>
  <c r="S249" i="1"/>
  <c r="K250" i="1"/>
  <c r="R250" i="1" s="1"/>
  <c r="L250" i="1"/>
  <c r="M250" i="1"/>
  <c r="N250" i="1"/>
  <c r="O250" i="1"/>
  <c r="P250" i="1"/>
  <c r="Q250" i="1"/>
  <c r="S250" i="1"/>
  <c r="K251" i="1"/>
  <c r="L251" i="1"/>
  <c r="N251" i="1"/>
  <c r="O251" i="1"/>
  <c r="P251" i="1"/>
  <c r="Q251" i="1"/>
  <c r="S251" i="1"/>
  <c r="K252" i="1"/>
  <c r="M252" i="1" s="1"/>
  <c r="L252" i="1"/>
  <c r="N252" i="1"/>
  <c r="O252" i="1"/>
  <c r="P252" i="1"/>
  <c r="Q252" i="1"/>
  <c r="R252" i="1"/>
  <c r="S252" i="1"/>
  <c r="K253" i="1"/>
  <c r="L253" i="1"/>
  <c r="M253" i="1"/>
  <c r="N253" i="1"/>
  <c r="O253" i="1"/>
  <c r="P253" i="1"/>
  <c r="Q253" i="1"/>
  <c r="R253" i="1"/>
  <c r="S253" i="1"/>
  <c r="K254" i="1"/>
  <c r="R254" i="1" s="1"/>
  <c r="L254" i="1"/>
  <c r="M254" i="1"/>
  <c r="N254" i="1"/>
  <c r="O254" i="1"/>
  <c r="P254" i="1"/>
  <c r="Q254" i="1"/>
  <c r="S254" i="1"/>
  <c r="K255" i="1"/>
  <c r="R255" i="1" s="1"/>
  <c r="L255" i="1"/>
  <c r="N255" i="1"/>
  <c r="O255" i="1"/>
  <c r="P255" i="1"/>
  <c r="Q255" i="1"/>
  <c r="S255" i="1"/>
  <c r="K256" i="1"/>
  <c r="L256" i="1"/>
  <c r="M256" i="1"/>
  <c r="N256" i="1"/>
  <c r="O256" i="1"/>
  <c r="P256" i="1"/>
  <c r="Q256" i="1"/>
  <c r="R256" i="1"/>
  <c r="S256" i="1"/>
  <c r="K257" i="1"/>
  <c r="L257" i="1"/>
  <c r="M257" i="1"/>
  <c r="N257" i="1"/>
  <c r="O257" i="1"/>
  <c r="P257" i="1"/>
  <c r="Q257" i="1"/>
  <c r="R257" i="1"/>
  <c r="S257" i="1"/>
  <c r="K258" i="1"/>
  <c r="R258" i="1" s="1"/>
  <c r="L258" i="1"/>
  <c r="M258" i="1"/>
  <c r="N258" i="1"/>
  <c r="O258" i="1"/>
  <c r="P258" i="1"/>
  <c r="Q258" i="1"/>
  <c r="S258" i="1"/>
  <c r="K259" i="1"/>
  <c r="L259" i="1"/>
  <c r="N259" i="1"/>
  <c r="O259" i="1"/>
  <c r="P259" i="1"/>
  <c r="Q259" i="1"/>
  <c r="S259" i="1"/>
  <c r="K260" i="1"/>
  <c r="M260" i="1" s="1"/>
  <c r="L260" i="1"/>
  <c r="N260" i="1"/>
  <c r="O260" i="1"/>
  <c r="P260" i="1"/>
  <c r="Q260" i="1"/>
  <c r="R260" i="1"/>
  <c r="S260" i="1"/>
  <c r="K261" i="1"/>
  <c r="L261" i="1"/>
  <c r="M261" i="1"/>
  <c r="N261" i="1"/>
  <c r="O261" i="1"/>
  <c r="P261" i="1"/>
  <c r="Q261" i="1"/>
  <c r="R261" i="1"/>
  <c r="S261" i="1"/>
  <c r="K262" i="1"/>
  <c r="R262" i="1" s="1"/>
  <c r="L262" i="1"/>
  <c r="M262" i="1"/>
  <c r="N262" i="1"/>
  <c r="O262" i="1"/>
  <c r="P262" i="1"/>
  <c r="Q262" i="1"/>
  <c r="S262" i="1"/>
  <c r="K263" i="1"/>
  <c r="R263" i="1" s="1"/>
  <c r="L263" i="1"/>
  <c r="N263" i="1"/>
  <c r="O263" i="1"/>
  <c r="P263" i="1"/>
  <c r="Q263" i="1"/>
  <c r="S263" i="1"/>
  <c r="K264" i="1"/>
  <c r="L264" i="1"/>
  <c r="M264" i="1"/>
  <c r="N264" i="1"/>
  <c r="O264" i="1"/>
  <c r="P264" i="1"/>
  <c r="Q264" i="1"/>
  <c r="R264" i="1"/>
  <c r="S264" i="1"/>
  <c r="K265" i="1"/>
  <c r="L265" i="1"/>
  <c r="M265" i="1"/>
  <c r="N265" i="1"/>
  <c r="O265" i="1"/>
  <c r="P265" i="1"/>
  <c r="Q265" i="1"/>
  <c r="R265" i="1"/>
  <c r="S265" i="1"/>
  <c r="K266" i="1"/>
  <c r="R266" i="1" s="1"/>
  <c r="L266" i="1"/>
  <c r="M266" i="1"/>
  <c r="N266" i="1"/>
  <c r="O266" i="1"/>
  <c r="P266" i="1"/>
  <c r="Q266" i="1"/>
  <c r="S266" i="1"/>
  <c r="K267" i="1"/>
  <c r="L267" i="1"/>
  <c r="N267" i="1"/>
  <c r="O267" i="1"/>
  <c r="P267" i="1"/>
  <c r="Q267" i="1"/>
  <c r="S267" i="1"/>
  <c r="K268" i="1"/>
  <c r="M268" i="1" s="1"/>
  <c r="L268" i="1"/>
  <c r="N268" i="1"/>
  <c r="O268" i="1"/>
  <c r="P268" i="1"/>
  <c r="Q268" i="1"/>
  <c r="R268" i="1"/>
  <c r="S268" i="1"/>
  <c r="K269" i="1"/>
  <c r="L269" i="1"/>
  <c r="M269" i="1"/>
  <c r="N269" i="1"/>
  <c r="O269" i="1"/>
  <c r="P269" i="1"/>
  <c r="Q269" i="1"/>
  <c r="R269" i="1"/>
  <c r="S269" i="1"/>
  <c r="K270" i="1"/>
  <c r="R270" i="1" s="1"/>
  <c r="L270" i="1"/>
  <c r="M270" i="1"/>
  <c r="N270" i="1"/>
  <c r="O270" i="1"/>
  <c r="P270" i="1"/>
  <c r="Q270" i="1"/>
  <c r="S270" i="1"/>
  <c r="K271" i="1"/>
  <c r="R271" i="1" s="1"/>
  <c r="L271" i="1"/>
  <c r="N271" i="1"/>
  <c r="O271" i="1"/>
  <c r="P271" i="1"/>
  <c r="Q271" i="1"/>
  <c r="S271" i="1"/>
  <c r="K272" i="1"/>
  <c r="L272" i="1"/>
  <c r="M272" i="1"/>
  <c r="N272" i="1"/>
  <c r="O272" i="1"/>
  <c r="P272" i="1"/>
  <c r="Q272" i="1"/>
  <c r="R272" i="1"/>
  <c r="S272" i="1"/>
  <c r="K273" i="1"/>
  <c r="L273" i="1"/>
  <c r="M273" i="1"/>
  <c r="N273" i="1"/>
  <c r="O273" i="1"/>
  <c r="P273" i="1"/>
  <c r="Q273" i="1"/>
  <c r="R273" i="1"/>
  <c r="S273" i="1"/>
  <c r="K274" i="1"/>
  <c r="R274" i="1" s="1"/>
  <c r="L274" i="1"/>
  <c r="M274" i="1"/>
  <c r="N274" i="1"/>
  <c r="O274" i="1"/>
  <c r="P274" i="1"/>
  <c r="Q274" i="1"/>
  <c r="S274" i="1"/>
  <c r="K275" i="1"/>
  <c r="L275" i="1"/>
  <c r="N275" i="1"/>
  <c r="O275" i="1"/>
  <c r="P275" i="1"/>
  <c r="Q275" i="1"/>
  <c r="S275" i="1"/>
  <c r="K276" i="1"/>
  <c r="M276" i="1" s="1"/>
  <c r="L276" i="1"/>
  <c r="N276" i="1"/>
  <c r="O276" i="1"/>
  <c r="P276" i="1"/>
  <c r="Q276" i="1"/>
  <c r="R276" i="1"/>
  <c r="S276" i="1"/>
  <c r="K277" i="1"/>
  <c r="L277" i="1"/>
  <c r="M277" i="1"/>
  <c r="N277" i="1"/>
  <c r="O277" i="1"/>
  <c r="P277" i="1"/>
  <c r="Q277" i="1"/>
  <c r="R277" i="1"/>
  <c r="S277" i="1"/>
  <c r="K278" i="1"/>
  <c r="R278" i="1" s="1"/>
  <c r="L278" i="1"/>
  <c r="M278" i="1"/>
  <c r="N278" i="1"/>
  <c r="O278" i="1"/>
  <c r="P278" i="1"/>
  <c r="Q278" i="1"/>
  <c r="S278" i="1"/>
  <c r="K279" i="1"/>
  <c r="L279" i="1"/>
  <c r="N279" i="1"/>
  <c r="O279" i="1"/>
  <c r="P279" i="1"/>
  <c r="Q279" i="1"/>
  <c r="S279" i="1"/>
  <c r="K280" i="1"/>
  <c r="L280" i="1"/>
  <c r="M280" i="1"/>
  <c r="N280" i="1"/>
  <c r="O280" i="1"/>
  <c r="P280" i="1"/>
  <c r="Q280" i="1"/>
  <c r="R280" i="1"/>
  <c r="S280" i="1"/>
  <c r="K281" i="1"/>
  <c r="L281" i="1"/>
  <c r="M281" i="1"/>
  <c r="N281" i="1"/>
  <c r="O281" i="1"/>
  <c r="P281" i="1"/>
  <c r="Q281" i="1"/>
  <c r="R281" i="1"/>
  <c r="S281" i="1"/>
  <c r="K282" i="1"/>
  <c r="R282" i="1" s="1"/>
  <c r="L282" i="1"/>
  <c r="M282" i="1"/>
  <c r="N282" i="1"/>
  <c r="O282" i="1"/>
  <c r="P282" i="1"/>
  <c r="Q282" i="1"/>
  <c r="S282" i="1"/>
  <c r="K283" i="1"/>
  <c r="M283" i="1" s="1"/>
  <c r="L283" i="1"/>
  <c r="N283" i="1"/>
  <c r="O283" i="1"/>
  <c r="P283" i="1"/>
  <c r="Q283" i="1"/>
  <c r="R283" i="1"/>
  <c r="S283" i="1"/>
  <c r="K284" i="1"/>
  <c r="M284" i="1" s="1"/>
  <c r="L284" i="1"/>
  <c r="N284" i="1"/>
  <c r="O284" i="1"/>
  <c r="P284" i="1"/>
  <c r="Q284" i="1"/>
  <c r="R284" i="1"/>
  <c r="S284" i="1"/>
  <c r="K285" i="1"/>
  <c r="L285" i="1"/>
  <c r="M285" i="1"/>
  <c r="N285" i="1"/>
  <c r="O285" i="1"/>
  <c r="P285" i="1"/>
  <c r="Q285" i="1"/>
  <c r="R285" i="1"/>
  <c r="S285" i="1"/>
  <c r="K286" i="1"/>
  <c r="R286" i="1" s="1"/>
  <c r="L286" i="1"/>
  <c r="M286" i="1"/>
  <c r="N286" i="1"/>
  <c r="O286" i="1"/>
  <c r="P286" i="1"/>
  <c r="Q286" i="1"/>
  <c r="S286" i="1"/>
  <c r="K287" i="1"/>
  <c r="L287" i="1"/>
  <c r="N287" i="1"/>
  <c r="O287" i="1"/>
  <c r="P287" i="1"/>
  <c r="Q287" i="1"/>
  <c r="S287" i="1"/>
  <c r="K288" i="1"/>
  <c r="L288" i="1"/>
  <c r="M288" i="1"/>
  <c r="N288" i="1"/>
  <c r="O288" i="1"/>
  <c r="P288" i="1"/>
  <c r="Q288" i="1"/>
  <c r="R288" i="1"/>
  <c r="S288" i="1"/>
  <c r="K289" i="1"/>
  <c r="L289" i="1"/>
  <c r="M289" i="1"/>
  <c r="N289" i="1"/>
  <c r="O289" i="1"/>
  <c r="P289" i="1"/>
  <c r="Q289" i="1"/>
  <c r="R289" i="1"/>
  <c r="S289" i="1"/>
  <c r="K290" i="1"/>
  <c r="R290" i="1" s="1"/>
  <c r="L290" i="1"/>
  <c r="N290" i="1"/>
  <c r="O290" i="1"/>
  <c r="P290" i="1"/>
  <c r="Q290" i="1"/>
  <c r="S290" i="1"/>
  <c r="K291" i="1"/>
  <c r="M291" i="1" s="1"/>
  <c r="L291" i="1"/>
  <c r="N291" i="1"/>
  <c r="O291" i="1"/>
  <c r="P291" i="1"/>
  <c r="Q291" i="1"/>
  <c r="S291" i="1"/>
  <c r="K292" i="1"/>
  <c r="M292" i="1" s="1"/>
  <c r="L292" i="1"/>
  <c r="N292" i="1"/>
  <c r="O292" i="1"/>
  <c r="P292" i="1"/>
  <c r="Q292" i="1"/>
  <c r="S292" i="1"/>
  <c r="K293" i="1"/>
  <c r="L293" i="1"/>
  <c r="M293" i="1"/>
  <c r="N293" i="1"/>
  <c r="O293" i="1"/>
  <c r="P293" i="1"/>
  <c r="Q293" i="1"/>
  <c r="R293" i="1"/>
  <c r="S293" i="1"/>
  <c r="K294" i="1"/>
  <c r="R294" i="1" s="1"/>
  <c r="L294" i="1"/>
  <c r="M294" i="1"/>
  <c r="N294" i="1"/>
  <c r="O294" i="1"/>
  <c r="P294" i="1"/>
  <c r="Q294" i="1"/>
  <c r="S294" i="1"/>
  <c r="K295" i="1"/>
  <c r="L295" i="1"/>
  <c r="N295" i="1"/>
  <c r="O295" i="1"/>
  <c r="P295" i="1"/>
  <c r="Q295" i="1"/>
  <c r="S295" i="1"/>
  <c r="K296" i="1"/>
  <c r="M296" i="1" s="1"/>
  <c r="L296" i="1"/>
  <c r="N296" i="1"/>
  <c r="O296" i="1"/>
  <c r="P296" i="1"/>
  <c r="Q296" i="1"/>
  <c r="S296" i="1"/>
  <c r="K297" i="1"/>
  <c r="L297" i="1"/>
  <c r="M297" i="1"/>
  <c r="N297" i="1"/>
  <c r="O297" i="1"/>
  <c r="P297" i="1"/>
  <c r="Q297" i="1"/>
  <c r="R297" i="1"/>
  <c r="S297" i="1"/>
  <c r="K298" i="1"/>
  <c r="R298" i="1" s="1"/>
  <c r="L298" i="1"/>
  <c r="N298" i="1"/>
  <c r="O298" i="1"/>
  <c r="P298" i="1"/>
  <c r="Q298" i="1"/>
  <c r="S298" i="1"/>
  <c r="K299" i="1"/>
  <c r="M299" i="1" s="1"/>
  <c r="L299" i="1"/>
  <c r="N299" i="1"/>
  <c r="O299" i="1"/>
  <c r="P299" i="1"/>
  <c r="Q299" i="1"/>
  <c r="R299" i="1"/>
  <c r="S299" i="1"/>
  <c r="K300" i="1"/>
  <c r="M300" i="1" s="1"/>
  <c r="L300" i="1"/>
  <c r="N300" i="1"/>
  <c r="O300" i="1"/>
  <c r="P300" i="1"/>
  <c r="Q300" i="1"/>
  <c r="R300" i="1"/>
  <c r="S300" i="1"/>
  <c r="K301" i="1"/>
  <c r="L301" i="1"/>
  <c r="M301" i="1"/>
  <c r="N301" i="1"/>
  <c r="O301" i="1"/>
  <c r="P301" i="1"/>
  <c r="Q301" i="1"/>
  <c r="R301" i="1"/>
  <c r="S301" i="1"/>
  <c r="K302" i="1"/>
  <c r="R302" i="1" s="1"/>
  <c r="L302" i="1"/>
  <c r="M302" i="1"/>
  <c r="N302" i="1"/>
  <c r="O302" i="1"/>
  <c r="P302" i="1"/>
  <c r="Q302" i="1"/>
  <c r="S302" i="1"/>
  <c r="K303" i="1"/>
  <c r="L303" i="1"/>
  <c r="N303" i="1"/>
  <c r="O303" i="1"/>
  <c r="P303" i="1"/>
  <c r="Q303" i="1"/>
  <c r="S303" i="1"/>
  <c r="K304" i="1"/>
  <c r="R304" i="1" s="1"/>
  <c r="L304" i="1"/>
  <c r="N304" i="1"/>
  <c r="O304" i="1"/>
  <c r="P304" i="1"/>
  <c r="Q304" i="1"/>
  <c r="S304" i="1"/>
  <c r="K305" i="1"/>
  <c r="L305" i="1"/>
  <c r="M305" i="1"/>
  <c r="N305" i="1"/>
  <c r="O305" i="1"/>
  <c r="P305" i="1"/>
  <c r="Q305" i="1"/>
  <c r="R305" i="1"/>
  <c r="S305" i="1"/>
  <c r="K306" i="1"/>
  <c r="R306" i="1" s="1"/>
  <c r="L306" i="1"/>
  <c r="N306" i="1"/>
  <c r="O306" i="1"/>
  <c r="P306" i="1"/>
  <c r="Q306" i="1"/>
  <c r="S306" i="1"/>
  <c r="K307" i="1"/>
  <c r="M307" i="1" s="1"/>
  <c r="L307" i="1"/>
  <c r="N307" i="1"/>
  <c r="O307" i="1"/>
  <c r="P307" i="1"/>
  <c r="Q307" i="1"/>
  <c r="R307" i="1"/>
  <c r="S307" i="1"/>
  <c r="K308" i="1"/>
  <c r="M308" i="1" s="1"/>
  <c r="L308" i="1"/>
  <c r="N308" i="1"/>
  <c r="O308" i="1"/>
  <c r="P308" i="1"/>
  <c r="Q308" i="1"/>
  <c r="R308" i="1"/>
  <c r="S308" i="1"/>
  <c r="K309" i="1"/>
  <c r="L309" i="1"/>
  <c r="M309" i="1"/>
  <c r="N309" i="1"/>
  <c r="O309" i="1"/>
  <c r="P309" i="1"/>
  <c r="Q309" i="1"/>
  <c r="R309" i="1"/>
  <c r="S309" i="1"/>
  <c r="K310" i="1"/>
  <c r="R310" i="1" s="1"/>
  <c r="L310" i="1"/>
  <c r="M310" i="1"/>
  <c r="N310" i="1"/>
  <c r="O310" i="1"/>
  <c r="P310" i="1"/>
  <c r="Q310" i="1"/>
  <c r="S310" i="1"/>
  <c r="K311" i="1"/>
  <c r="L311" i="1"/>
  <c r="N311" i="1"/>
  <c r="O311" i="1"/>
  <c r="P311" i="1"/>
  <c r="Q311" i="1"/>
  <c r="S311" i="1"/>
  <c r="K312" i="1"/>
  <c r="R312" i="1" s="1"/>
  <c r="L312" i="1"/>
  <c r="N312" i="1"/>
  <c r="O312" i="1"/>
  <c r="P312" i="1"/>
  <c r="Q312" i="1"/>
  <c r="S312" i="1"/>
  <c r="K313" i="1"/>
  <c r="L313" i="1"/>
  <c r="M313" i="1"/>
  <c r="N313" i="1"/>
  <c r="O313" i="1"/>
  <c r="P313" i="1"/>
  <c r="Q313" i="1"/>
  <c r="R313" i="1"/>
  <c r="S313" i="1"/>
  <c r="K314" i="1"/>
  <c r="R314" i="1" s="1"/>
  <c r="L314" i="1"/>
  <c r="M314" i="1"/>
  <c r="N314" i="1"/>
  <c r="O314" i="1"/>
  <c r="P314" i="1"/>
  <c r="Q314" i="1"/>
  <c r="S314" i="1"/>
  <c r="K315" i="1"/>
  <c r="M315" i="1" s="1"/>
  <c r="L315" i="1"/>
  <c r="N315" i="1"/>
  <c r="O315" i="1"/>
  <c r="P315" i="1"/>
  <c r="Q315" i="1"/>
  <c r="R315" i="1"/>
  <c r="S315" i="1"/>
  <c r="K316" i="1"/>
  <c r="L316" i="1"/>
  <c r="M316" i="1"/>
  <c r="N316" i="1"/>
  <c r="O316" i="1"/>
  <c r="P316" i="1"/>
  <c r="Q316" i="1"/>
  <c r="R316" i="1"/>
  <c r="S316" i="1"/>
  <c r="K317" i="1"/>
  <c r="L317" i="1"/>
  <c r="M317" i="1"/>
  <c r="N317" i="1"/>
  <c r="O317" i="1"/>
  <c r="P317" i="1"/>
  <c r="Q317" i="1"/>
  <c r="R317" i="1"/>
  <c r="S317" i="1"/>
  <c r="K318" i="1"/>
  <c r="R318" i="1" s="1"/>
  <c r="L318" i="1"/>
  <c r="N318" i="1"/>
  <c r="O318" i="1"/>
  <c r="P318" i="1"/>
  <c r="Q318" i="1"/>
  <c r="S318" i="1"/>
  <c r="K319" i="1"/>
  <c r="M319" i="1" s="1"/>
  <c r="L319" i="1"/>
  <c r="N319" i="1"/>
  <c r="O319" i="1"/>
  <c r="P319" i="1"/>
  <c r="Q319" i="1"/>
  <c r="S319" i="1"/>
  <c r="K320" i="1"/>
  <c r="M320" i="1" s="1"/>
  <c r="L320" i="1"/>
  <c r="N320" i="1"/>
  <c r="O320" i="1"/>
  <c r="P320" i="1"/>
  <c r="Q320" i="1"/>
  <c r="S320" i="1"/>
  <c r="K321" i="1"/>
  <c r="L321" i="1"/>
  <c r="M321" i="1"/>
  <c r="N321" i="1"/>
  <c r="O321" i="1"/>
  <c r="P321" i="1"/>
  <c r="Q321" i="1"/>
  <c r="R321" i="1"/>
  <c r="S321" i="1"/>
  <c r="K322" i="1"/>
  <c r="R322" i="1" s="1"/>
  <c r="L322" i="1"/>
  <c r="N322" i="1"/>
  <c r="O322" i="1"/>
  <c r="P322" i="1"/>
  <c r="Q322" i="1"/>
  <c r="S322" i="1"/>
  <c r="K323" i="1"/>
  <c r="M323" i="1" s="1"/>
  <c r="L323" i="1"/>
  <c r="N323" i="1"/>
  <c r="O323" i="1"/>
  <c r="P323" i="1"/>
  <c r="Q323" i="1"/>
  <c r="R323" i="1"/>
  <c r="S323" i="1"/>
  <c r="K324" i="1"/>
  <c r="R324" i="1" s="1"/>
  <c r="L324" i="1"/>
  <c r="N324" i="1"/>
  <c r="O324" i="1"/>
  <c r="P324" i="1"/>
  <c r="Q324" i="1"/>
  <c r="S324" i="1"/>
  <c r="K325" i="1"/>
  <c r="L325" i="1"/>
  <c r="M325" i="1"/>
  <c r="N325" i="1"/>
  <c r="O325" i="1"/>
  <c r="P325" i="1"/>
  <c r="Q325" i="1"/>
  <c r="R325" i="1"/>
  <c r="S325" i="1"/>
  <c r="K326" i="1"/>
  <c r="R326" i="1" s="1"/>
  <c r="L326" i="1"/>
  <c r="N326" i="1"/>
  <c r="O326" i="1"/>
  <c r="P326" i="1"/>
  <c r="Q326" i="1"/>
  <c r="S326" i="1"/>
  <c r="K327" i="1"/>
  <c r="M327" i="1" s="1"/>
  <c r="L327" i="1"/>
  <c r="N327" i="1"/>
  <c r="O327" i="1"/>
  <c r="P327" i="1"/>
  <c r="Q327" i="1"/>
  <c r="S327" i="1"/>
  <c r="K328" i="1"/>
  <c r="R328" i="1" s="1"/>
  <c r="L328" i="1"/>
  <c r="N328" i="1"/>
  <c r="O328" i="1"/>
  <c r="P328" i="1"/>
  <c r="Q328" i="1"/>
  <c r="S328" i="1"/>
  <c r="K329" i="1"/>
  <c r="L329" i="1"/>
  <c r="M329" i="1"/>
  <c r="N329" i="1"/>
  <c r="O329" i="1"/>
  <c r="P329" i="1"/>
  <c r="Q329" i="1"/>
  <c r="R329" i="1"/>
  <c r="S329" i="1"/>
  <c r="K330" i="1"/>
  <c r="R330" i="1" s="1"/>
  <c r="L330" i="1"/>
  <c r="M330" i="1"/>
  <c r="N330" i="1"/>
  <c r="O330" i="1"/>
  <c r="P330" i="1"/>
  <c r="Q330" i="1"/>
  <c r="S330" i="1"/>
  <c r="K331" i="1"/>
  <c r="R331" i="1" s="1"/>
  <c r="L331" i="1"/>
  <c r="M331" i="1"/>
  <c r="N331" i="1"/>
  <c r="O331" i="1"/>
  <c r="P331" i="1"/>
  <c r="Q331" i="1"/>
  <c r="S331" i="1"/>
  <c r="K332" i="1"/>
  <c r="M332" i="1" s="1"/>
  <c r="L332" i="1"/>
  <c r="N332" i="1"/>
  <c r="O332" i="1"/>
  <c r="P332" i="1"/>
  <c r="Q332" i="1"/>
  <c r="S332" i="1"/>
  <c r="K333" i="1"/>
  <c r="M333" i="1" s="1"/>
  <c r="L333" i="1"/>
  <c r="N333" i="1"/>
  <c r="O333" i="1"/>
  <c r="P333" i="1"/>
  <c r="Q333" i="1"/>
  <c r="S333" i="1"/>
  <c r="K334" i="1"/>
  <c r="M334" i="1" s="1"/>
  <c r="L334" i="1"/>
  <c r="N334" i="1"/>
  <c r="O334" i="1"/>
  <c r="P334" i="1"/>
  <c r="Q334" i="1"/>
  <c r="R334" i="1"/>
  <c r="S334" i="1"/>
  <c r="K335" i="1"/>
  <c r="M335" i="1" s="1"/>
  <c r="L335" i="1"/>
  <c r="N335" i="1"/>
  <c r="O335" i="1"/>
  <c r="P335" i="1"/>
  <c r="Q335" i="1"/>
  <c r="R335" i="1"/>
  <c r="S335" i="1"/>
  <c r="K336" i="1"/>
  <c r="R336" i="1" s="1"/>
  <c r="L336" i="1"/>
  <c r="M336" i="1"/>
  <c r="N336" i="1"/>
  <c r="O336" i="1"/>
  <c r="P336" i="1"/>
  <c r="Q336" i="1"/>
  <c r="S336" i="1"/>
  <c r="K337" i="1"/>
  <c r="L337" i="1"/>
  <c r="M337" i="1"/>
  <c r="N337" i="1"/>
  <c r="O337" i="1"/>
  <c r="P337" i="1"/>
  <c r="Q337" i="1"/>
  <c r="R337" i="1"/>
  <c r="S337" i="1"/>
  <c r="K338" i="1"/>
  <c r="R338" i="1" s="1"/>
  <c r="L338" i="1"/>
  <c r="N338" i="1"/>
  <c r="O338" i="1"/>
  <c r="P338" i="1"/>
  <c r="Q338" i="1"/>
  <c r="S338" i="1"/>
  <c r="K339" i="1"/>
  <c r="R339" i="1" s="1"/>
  <c r="L339" i="1"/>
  <c r="N339" i="1"/>
  <c r="O339" i="1"/>
  <c r="P339" i="1"/>
  <c r="Q339" i="1"/>
  <c r="S339" i="1"/>
  <c r="K340" i="1"/>
  <c r="L340" i="1"/>
  <c r="M340" i="1"/>
  <c r="N340" i="1"/>
  <c r="O340" i="1"/>
  <c r="P340" i="1"/>
  <c r="Q340" i="1"/>
  <c r="R340" i="1"/>
  <c r="S340" i="1"/>
  <c r="K341" i="1"/>
  <c r="R341" i="1" s="1"/>
  <c r="L341" i="1"/>
  <c r="M341" i="1"/>
  <c r="N341" i="1"/>
  <c r="O341" i="1"/>
  <c r="P341" i="1"/>
  <c r="Q341" i="1"/>
  <c r="S341" i="1"/>
  <c r="K342" i="1"/>
  <c r="M342" i="1" s="1"/>
  <c r="L342" i="1"/>
  <c r="N342" i="1"/>
  <c r="O342" i="1"/>
  <c r="P342" i="1"/>
  <c r="Q342" i="1"/>
  <c r="S342" i="1"/>
  <c r="K343" i="1"/>
  <c r="M343" i="1" s="1"/>
  <c r="L343" i="1"/>
  <c r="N343" i="1"/>
  <c r="O343" i="1"/>
  <c r="P343" i="1"/>
  <c r="Q343" i="1"/>
  <c r="S343" i="1"/>
  <c r="K344" i="1"/>
  <c r="M344" i="1" s="1"/>
  <c r="L344" i="1"/>
  <c r="N344" i="1"/>
  <c r="O344" i="1"/>
  <c r="P344" i="1"/>
  <c r="Q344" i="1"/>
  <c r="R344" i="1"/>
  <c r="S344" i="1"/>
  <c r="K345" i="1"/>
  <c r="R345" i="1" s="1"/>
  <c r="L345" i="1"/>
  <c r="M345" i="1"/>
  <c r="N345" i="1"/>
  <c r="O345" i="1"/>
  <c r="P345" i="1"/>
  <c r="Q345" i="1"/>
  <c r="S345" i="1"/>
  <c r="K346" i="1"/>
  <c r="M346" i="1" s="1"/>
  <c r="L346" i="1"/>
  <c r="N346" i="1"/>
  <c r="O346" i="1"/>
  <c r="P346" i="1"/>
  <c r="Q346" i="1"/>
  <c r="R346" i="1"/>
  <c r="S346" i="1"/>
  <c r="K347" i="1"/>
  <c r="R347" i="1" s="1"/>
  <c r="L347" i="1"/>
  <c r="N347" i="1"/>
  <c r="O347" i="1"/>
  <c r="P347" i="1"/>
  <c r="Q347" i="1"/>
  <c r="S347" i="1"/>
  <c r="K348" i="1"/>
  <c r="L348" i="1"/>
  <c r="M348" i="1"/>
  <c r="N348" i="1"/>
  <c r="O348" i="1"/>
  <c r="P348" i="1"/>
  <c r="Q348" i="1"/>
  <c r="R348" i="1"/>
  <c r="S348" i="1"/>
  <c r="K349" i="1"/>
  <c r="L349" i="1"/>
  <c r="M349" i="1"/>
  <c r="N349" i="1"/>
  <c r="O349" i="1"/>
  <c r="P349" i="1"/>
  <c r="Q349" i="1"/>
  <c r="R349" i="1"/>
  <c r="S349" i="1"/>
  <c r="K350" i="1"/>
  <c r="R350" i="1" s="1"/>
  <c r="L350" i="1"/>
  <c r="M350" i="1"/>
  <c r="N350" i="1"/>
  <c r="O350" i="1"/>
  <c r="P350" i="1"/>
  <c r="Q350" i="1"/>
  <c r="S350" i="1"/>
  <c r="K351" i="1"/>
  <c r="M351" i="1" s="1"/>
  <c r="L351" i="1"/>
  <c r="N351" i="1"/>
  <c r="O351" i="1"/>
  <c r="P351" i="1"/>
  <c r="Q351" i="1"/>
  <c r="S351" i="1"/>
  <c r="K352" i="1"/>
  <c r="M352" i="1" s="1"/>
  <c r="L352" i="1"/>
  <c r="N352" i="1"/>
  <c r="O352" i="1"/>
  <c r="P352" i="1"/>
  <c r="Q352" i="1"/>
  <c r="R352" i="1"/>
  <c r="S352" i="1"/>
  <c r="K353" i="1"/>
  <c r="L353" i="1"/>
  <c r="M353" i="1"/>
  <c r="N353" i="1"/>
  <c r="O353" i="1"/>
  <c r="P353" i="1"/>
  <c r="Q353" i="1"/>
  <c r="R353" i="1"/>
  <c r="S353" i="1"/>
  <c r="K354" i="1"/>
  <c r="M354" i="1" s="1"/>
  <c r="L354" i="1"/>
  <c r="N354" i="1"/>
  <c r="O354" i="1"/>
  <c r="P354" i="1"/>
  <c r="Q354" i="1"/>
  <c r="R354" i="1"/>
  <c r="S354" i="1"/>
  <c r="K355" i="1"/>
  <c r="R355" i="1" s="1"/>
  <c r="L355" i="1"/>
  <c r="N355" i="1"/>
  <c r="O355" i="1"/>
  <c r="P355" i="1"/>
  <c r="Q355" i="1"/>
  <c r="S355" i="1"/>
  <c r="K356" i="1"/>
  <c r="L356" i="1"/>
  <c r="M356" i="1"/>
  <c r="N356" i="1"/>
  <c r="O356" i="1"/>
  <c r="P356" i="1"/>
  <c r="Q356" i="1"/>
  <c r="R356" i="1"/>
  <c r="S356" i="1"/>
  <c r="K357" i="1"/>
  <c r="L357" i="1"/>
  <c r="M357" i="1"/>
  <c r="N357" i="1"/>
  <c r="O357" i="1"/>
  <c r="P357" i="1"/>
  <c r="Q357" i="1"/>
  <c r="R357" i="1"/>
  <c r="S357" i="1"/>
  <c r="K358" i="1"/>
  <c r="R358" i="1" s="1"/>
  <c r="L358" i="1"/>
  <c r="M358" i="1"/>
  <c r="N358" i="1"/>
  <c r="O358" i="1"/>
  <c r="P358" i="1"/>
  <c r="Q358" i="1"/>
  <c r="S358" i="1"/>
  <c r="K359" i="1"/>
  <c r="M359" i="1" s="1"/>
  <c r="L359" i="1"/>
  <c r="N359" i="1"/>
  <c r="O359" i="1"/>
  <c r="P359" i="1"/>
  <c r="Q359" i="1"/>
  <c r="S359" i="1"/>
  <c r="K360" i="1"/>
  <c r="M360" i="1" s="1"/>
  <c r="L360" i="1"/>
  <c r="N360" i="1"/>
  <c r="O360" i="1"/>
  <c r="P360" i="1"/>
  <c r="Q360" i="1"/>
  <c r="R360" i="1"/>
  <c r="S360" i="1"/>
  <c r="K361" i="1"/>
  <c r="L361" i="1"/>
  <c r="M361" i="1"/>
  <c r="N361" i="1"/>
  <c r="O361" i="1"/>
  <c r="P361" i="1"/>
  <c r="Q361" i="1"/>
  <c r="R361" i="1"/>
  <c r="S361" i="1"/>
  <c r="K362" i="1"/>
  <c r="M362" i="1" s="1"/>
  <c r="L362" i="1"/>
  <c r="N362" i="1"/>
  <c r="O362" i="1"/>
  <c r="P362" i="1"/>
  <c r="Q362" i="1"/>
  <c r="R362" i="1"/>
  <c r="S362" i="1"/>
  <c r="K363" i="1"/>
  <c r="R363" i="1" s="1"/>
  <c r="L363" i="1"/>
  <c r="N363" i="1"/>
  <c r="O363" i="1"/>
  <c r="P363" i="1"/>
  <c r="Q363" i="1"/>
  <c r="S363" i="1"/>
  <c r="K364" i="1"/>
  <c r="L364" i="1"/>
  <c r="M364" i="1"/>
  <c r="N364" i="1"/>
  <c r="O364" i="1"/>
  <c r="P364" i="1"/>
  <c r="Q364" i="1"/>
  <c r="R364" i="1"/>
  <c r="S364" i="1"/>
  <c r="K365" i="1"/>
  <c r="L365" i="1"/>
  <c r="M365" i="1"/>
  <c r="N365" i="1"/>
  <c r="O365" i="1"/>
  <c r="P365" i="1"/>
  <c r="Q365" i="1"/>
  <c r="R365" i="1"/>
  <c r="S365" i="1"/>
  <c r="K366" i="1"/>
  <c r="R366" i="1" s="1"/>
  <c r="L366" i="1"/>
  <c r="M366" i="1"/>
  <c r="N366" i="1"/>
  <c r="O366" i="1"/>
  <c r="P366" i="1"/>
  <c r="Q366" i="1"/>
  <c r="S366" i="1"/>
  <c r="K367" i="1"/>
  <c r="M367" i="1" s="1"/>
  <c r="L367" i="1"/>
  <c r="N367" i="1"/>
  <c r="O367" i="1"/>
  <c r="P367" i="1"/>
  <c r="Q367" i="1"/>
  <c r="S367" i="1"/>
  <c r="K368" i="1"/>
  <c r="M368" i="1" s="1"/>
  <c r="L368" i="1"/>
  <c r="N368" i="1"/>
  <c r="O368" i="1"/>
  <c r="P368" i="1"/>
  <c r="Q368" i="1"/>
  <c r="R368" i="1"/>
  <c r="S368" i="1"/>
  <c r="K369" i="1"/>
  <c r="L369" i="1"/>
  <c r="M369" i="1"/>
  <c r="N369" i="1"/>
  <c r="O369" i="1"/>
  <c r="P369" i="1"/>
  <c r="Q369" i="1"/>
  <c r="R369" i="1"/>
  <c r="S369" i="1"/>
  <c r="K370" i="1"/>
  <c r="M370" i="1" s="1"/>
  <c r="L370" i="1"/>
  <c r="N370" i="1"/>
  <c r="O370" i="1"/>
  <c r="P370" i="1"/>
  <c r="Q370" i="1"/>
  <c r="R370" i="1"/>
  <c r="S370" i="1"/>
  <c r="K371" i="1"/>
  <c r="R371" i="1" s="1"/>
  <c r="L371" i="1"/>
  <c r="N371" i="1"/>
  <c r="O371" i="1"/>
  <c r="P371" i="1"/>
  <c r="Q371" i="1"/>
  <c r="S371" i="1"/>
  <c r="K372" i="1"/>
  <c r="L372" i="1"/>
  <c r="M372" i="1"/>
  <c r="N372" i="1"/>
  <c r="O372" i="1"/>
  <c r="P372" i="1"/>
  <c r="Q372" i="1"/>
  <c r="R372" i="1"/>
  <c r="S372" i="1"/>
  <c r="K373" i="1"/>
  <c r="R373" i="1" s="1"/>
  <c r="L373" i="1"/>
  <c r="M373" i="1"/>
  <c r="N373" i="1"/>
  <c r="O373" i="1"/>
  <c r="P373" i="1"/>
  <c r="Q373" i="1"/>
  <c r="S373" i="1"/>
  <c r="K374" i="1"/>
  <c r="R374" i="1" s="1"/>
  <c r="L374" i="1"/>
  <c r="M374" i="1"/>
  <c r="N374" i="1"/>
  <c r="O374" i="1"/>
  <c r="P374" i="1"/>
  <c r="Q374" i="1"/>
  <c r="S374" i="1"/>
  <c r="K375" i="1"/>
  <c r="M375" i="1" s="1"/>
  <c r="L375" i="1"/>
  <c r="N375" i="1"/>
  <c r="O375" i="1"/>
  <c r="P375" i="1"/>
  <c r="Q375" i="1"/>
  <c r="S375" i="1"/>
  <c r="K376" i="1"/>
  <c r="M376" i="1" s="1"/>
  <c r="L376" i="1"/>
  <c r="N376" i="1"/>
  <c r="O376" i="1"/>
  <c r="P376" i="1"/>
  <c r="Q376" i="1"/>
  <c r="R376" i="1"/>
  <c r="S376" i="1"/>
  <c r="K377" i="1"/>
  <c r="L377" i="1"/>
  <c r="M377" i="1"/>
  <c r="N377" i="1"/>
  <c r="O377" i="1"/>
  <c r="P377" i="1"/>
  <c r="Q377" i="1"/>
  <c r="R377" i="1"/>
  <c r="S377" i="1"/>
  <c r="K378" i="1"/>
  <c r="M378" i="1" s="1"/>
  <c r="L378" i="1"/>
  <c r="N378" i="1"/>
  <c r="O378" i="1"/>
  <c r="P378" i="1"/>
  <c r="Q378" i="1"/>
  <c r="R378" i="1"/>
  <c r="S378" i="1"/>
  <c r="K379" i="1"/>
  <c r="R379" i="1" s="1"/>
  <c r="L379" i="1"/>
  <c r="N379" i="1"/>
  <c r="O379" i="1"/>
  <c r="P379" i="1"/>
  <c r="Q379" i="1"/>
  <c r="S379" i="1"/>
  <c r="K380" i="1"/>
  <c r="L380" i="1"/>
  <c r="M380" i="1"/>
  <c r="N380" i="1"/>
  <c r="O380" i="1"/>
  <c r="P380" i="1"/>
  <c r="Q380" i="1"/>
  <c r="R380" i="1"/>
  <c r="S380" i="1"/>
  <c r="K381" i="1"/>
  <c r="R381" i="1" s="1"/>
  <c r="L381" i="1"/>
  <c r="M381" i="1"/>
  <c r="N381" i="1"/>
  <c r="O381" i="1"/>
  <c r="P381" i="1"/>
  <c r="Q381" i="1"/>
  <c r="S381" i="1"/>
  <c r="K382" i="1"/>
  <c r="R382" i="1" s="1"/>
  <c r="L382" i="1"/>
  <c r="M382" i="1"/>
  <c r="N382" i="1"/>
  <c r="O382" i="1"/>
  <c r="P382" i="1"/>
  <c r="Q382" i="1"/>
  <c r="S382" i="1"/>
  <c r="K383" i="1"/>
  <c r="M383" i="1" s="1"/>
  <c r="L383" i="1"/>
  <c r="N383" i="1"/>
  <c r="O383" i="1"/>
  <c r="P383" i="1"/>
  <c r="Q383" i="1"/>
  <c r="S383" i="1"/>
  <c r="K384" i="1"/>
  <c r="M384" i="1" s="1"/>
  <c r="L384" i="1"/>
  <c r="N384" i="1"/>
  <c r="O384" i="1"/>
  <c r="P384" i="1"/>
  <c r="Q384" i="1"/>
  <c r="R384" i="1"/>
  <c r="S384" i="1"/>
  <c r="K385" i="1"/>
  <c r="L385" i="1"/>
  <c r="M385" i="1"/>
  <c r="N385" i="1"/>
  <c r="O385" i="1"/>
  <c r="P385" i="1"/>
  <c r="Q385" i="1"/>
  <c r="R385" i="1"/>
  <c r="S385" i="1"/>
  <c r="K386" i="1"/>
  <c r="M386" i="1" s="1"/>
  <c r="L386" i="1"/>
  <c r="N386" i="1"/>
  <c r="O386" i="1"/>
  <c r="P386" i="1"/>
  <c r="Q386" i="1"/>
  <c r="R386" i="1"/>
  <c r="S386" i="1"/>
  <c r="K387" i="1"/>
  <c r="R387" i="1" s="1"/>
  <c r="L387" i="1"/>
  <c r="N387" i="1"/>
  <c r="O387" i="1"/>
  <c r="P387" i="1"/>
  <c r="Q387" i="1"/>
  <c r="S387" i="1"/>
  <c r="K388" i="1"/>
  <c r="L388" i="1"/>
  <c r="M388" i="1"/>
  <c r="N388" i="1"/>
  <c r="O388" i="1"/>
  <c r="P388" i="1"/>
  <c r="Q388" i="1"/>
  <c r="R388" i="1"/>
  <c r="S388" i="1"/>
  <c r="K389" i="1"/>
  <c r="R389" i="1" s="1"/>
  <c r="L389" i="1"/>
  <c r="M389" i="1"/>
  <c r="N389" i="1"/>
  <c r="O389" i="1"/>
  <c r="P389" i="1"/>
  <c r="Q389" i="1"/>
  <c r="S389" i="1"/>
  <c r="K390" i="1"/>
  <c r="R390" i="1" s="1"/>
  <c r="L390" i="1"/>
  <c r="M390" i="1"/>
  <c r="N390" i="1"/>
  <c r="O390" i="1"/>
  <c r="P390" i="1"/>
  <c r="Q390" i="1"/>
  <c r="S390" i="1"/>
  <c r="K391" i="1"/>
  <c r="M391" i="1" s="1"/>
  <c r="L391" i="1"/>
  <c r="N391" i="1"/>
  <c r="O391" i="1"/>
  <c r="P391" i="1"/>
  <c r="Q391" i="1"/>
  <c r="S391" i="1"/>
  <c r="K392" i="1"/>
  <c r="M392" i="1" s="1"/>
  <c r="L392" i="1"/>
  <c r="N392" i="1"/>
  <c r="O392" i="1"/>
  <c r="P392" i="1"/>
  <c r="Q392" i="1"/>
  <c r="R392" i="1"/>
  <c r="S392" i="1"/>
  <c r="K393" i="1"/>
  <c r="L393" i="1"/>
  <c r="M393" i="1"/>
  <c r="N393" i="1"/>
  <c r="O393" i="1"/>
  <c r="P393" i="1"/>
  <c r="Q393" i="1"/>
  <c r="R393" i="1"/>
  <c r="S393" i="1"/>
  <c r="K394" i="1"/>
  <c r="M394" i="1" s="1"/>
  <c r="L394" i="1"/>
  <c r="N394" i="1"/>
  <c r="O394" i="1"/>
  <c r="P394" i="1"/>
  <c r="Q394" i="1"/>
  <c r="R394" i="1"/>
  <c r="S394" i="1"/>
  <c r="K395" i="1"/>
  <c r="R395" i="1" s="1"/>
  <c r="L395" i="1"/>
  <c r="N395" i="1"/>
  <c r="O395" i="1"/>
  <c r="P395" i="1"/>
  <c r="Q395" i="1"/>
  <c r="S395" i="1"/>
  <c r="K396" i="1"/>
  <c r="L396" i="1"/>
  <c r="M396" i="1"/>
  <c r="N396" i="1"/>
  <c r="O396" i="1"/>
  <c r="P396" i="1"/>
  <c r="Q396" i="1"/>
  <c r="R396" i="1"/>
  <c r="S396" i="1"/>
  <c r="K397" i="1"/>
  <c r="R397" i="1" s="1"/>
  <c r="L397" i="1"/>
  <c r="M397" i="1"/>
  <c r="N397" i="1"/>
  <c r="O397" i="1"/>
  <c r="P397" i="1"/>
  <c r="Q397" i="1"/>
  <c r="S397" i="1"/>
  <c r="K398" i="1"/>
  <c r="R398" i="1" s="1"/>
  <c r="L398" i="1"/>
  <c r="M398" i="1"/>
  <c r="N398" i="1"/>
  <c r="O398" i="1"/>
  <c r="P398" i="1"/>
  <c r="Q398" i="1"/>
  <c r="S398" i="1"/>
  <c r="K399" i="1"/>
  <c r="M399" i="1" s="1"/>
  <c r="L399" i="1"/>
  <c r="N399" i="1"/>
  <c r="O399" i="1"/>
  <c r="P399" i="1"/>
  <c r="Q399" i="1"/>
  <c r="S399" i="1"/>
  <c r="K400" i="1"/>
  <c r="M400" i="1" s="1"/>
  <c r="L400" i="1"/>
  <c r="N400" i="1"/>
  <c r="O400" i="1"/>
  <c r="P400" i="1"/>
  <c r="Q400" i="1"/>
  <c r="R400" i="1"/>
  <c r="S400" i="1"/>
  <c r="K401" i="1"/>
  <c r="L401" i="1"/>
  <c r="M401" i="1"/>
  <c r="N401" i="1"/>
  <c r="O401" i="1"/>
  <c r="P401" i="1"/>
  <c r="Q401" i="1"/>
  <c r="R401" i="1"/>
  <c r="S401" i="1"/>
  <c r="K402" i="1"/>
  <c r="M402" i="1" s="1"/>
  <c r="L402" i="1"/>
  <c r="N402" i="1"/>
  <c r="O402" i="1"/>
  <c r="P402" i="1"/>
  <c r="Q402" i="1"/>
  <c r="R402" i="1"/>
  <c r="S402" i="1"/>
  <c r="K403" i="1"/>
  <c r="R403" i="1" s="1"/>
  <c r="L403" i="1"/>
  <c r="N403" i="1"/>
  <c r="O403" i="1"/>
  <c r="P403" i="1"/>
  <c r="Q403" i="1"/>
  <c r="S403" i="1"/>
  <c r="K404" i="1"/>
  <c r="L404" i="1"/>
  <c r="M404" i="1"/>
  <c r="N404" i="1"/>
  <c r="O404" i="1"/>
  <c r="P404" i="1"/>
  <c r="Q404" i="1"/>
  <c r="R404" i="1"/>
  <c r="S404" i="1"/>
  <c r="K405" i="1"/>
  <c r="R405" i="1" s="1"/>
  <c r="L405" i="1"/>
  <c r="M405" i="1"/>
  <c r="N405" i="1"/>
  <c r="O405" i="1"/>
  <c r="P405" i="1"/>
  <c r="Q405" i="1"/>
  <c r="S405" i="1"/>
  <c r="K406" i="1"/>
  <c r="R406" i="1" s="1"/>
  <c r="L406" i="1"/>
  <c r="M406" i="1"/>
  <c r="N406" i="1"/>
  <c r="O406" i="1"/>
  <c r="P406" i="1"/>
  <c r="Q406" i="1"/>
  <c r="S406" i="1"/>
  <c r="K407" i="1"/>
  <c r="M407" i="1" s="1"/>
  <c r="L407" i="1"/>
  <c r="N407" i="1"/>
  <c r="O407" i="1"/>
  <c r="P407" i="1"/>
  <c r="Q407" i="1"/>
  <c r="S407" i="1"/>
  <c r="K408" i="1"/>
  <c r="M408" i="1" s="1"/>
  <c r="L408" i="1"/>
  <c r="N408" i="1"/>
  <c r="O408" i="1"/>
  <c r="P408" i="1"/>
  <c r="Q408" i="1"/>
  <c r="R408" i="1"/>
  <c r="S408" i="1"/>
  <c r="K409" i="1"/>
  <c r="L409" i="1"/>
  <c r="M409" i="1"/>
  <c r="N409" i="1"/>
  <c r="O409" i="1"/>
  <c r="P409" i="1"/>
  <c r="Q409" i="1"/>
  <c r="R409" i="1"/>
  <c r="S409" i="1"/>
  <c r="K410" i="1"/>
  <c r="M410" i="1" s="1"/>
  <c r="L410" i="1"/>
  <c r="N410" i="1"/>
  <c r="O410" i="1"/>
  <c r="P410" i="1"/>
  <c r="Q410" i="1"/>
  <c r="R410" i="1"/>
  <c r="S410" i="1"/>
  <c r="K411" i="1"/>
  <c r="R411" i="1" s="1"/>
  <c r="L411" i="1"/>
  <c r="N411" i="1"/>
  <c r="O411" i="1"/>
  <c r="P411" i="1"/>
  <c r="Q411" i="1"/>
  <c r="S411" i="1"/>
  <c r="K412" i="1"/>
  <c r="L412" i="1"/>
  <c r="M412" i="1"/>
  <c r="N412" i="1"/>
  <c r="O412" i="1"/>
  <c r="P412" i="1"/>
  <c r="Q412" i="1"/>
  <c r="R412" i="1"/>
  <c r="S412" i="1"/>
  <c r="K413" i="1"/>
  <c r="R413" i="1" s="1"/>
  <c r="L413" i="1"/>
  <c r="M413" i="1"/>
  <c r="N413" i="1"/>
  <c r="O413" i="1"/>
  <c r="P413" i="1"/>
  <c r="Q413" i="1"/>
  <c r="S413" i="1"/>
  <c r="K414" i="1"/>
  <c r="R414" i="1" s="1"/>
  <c r="L414" i="1"/>
  <c r="M414" i="1"/>
  <c r="N414" i="1"/>
  <c r="O414" i="1"/>
  <c r="P414" i="1"/>
  <c r="Q414" i="1"/>
  <c r="S414" i="1"/>
  <c r="K415" i="1"/>
  <c r="M415" i="1" s="1"/>
  <c r="L415" i="1"/>
  <c r="N415" i="1"/>
  <c r="O415" i="1"/>
  <c r="P415" i="1"/>
  <c r="Q415" i="1"/>
  <c r="S415" i="1"/>
  <c r="K416" i="1"/>
  <c r="M416" i="1" s="1"/>
  <c r="L416" i="1"/>
  <c r="N416" i="1"/>
  <c r="O416" i="1"/>
  <c r="P416" i="1"/>
  <c r="Q416" i="1"/>
  <c r="R416" i="1"/>
  <c r="S416" i="1"/>
  <c r="K417" i="1"/>
  <c r="L417" i="1"/>
  <c r="M417" i="1"/>
  <c r="N417" i="1"/>
  <c r="O417" i="1"/>
  <c r="P417" i="1"/>
  <c r="Q417" i="1"/>
  <c r="R417" i="1"/>
  <c r="S417" i="1"/>
  <c r="K418" i="1"/>
  <c r="M418" i="1" s="1"/>
  <c r="L418" i="1"/>
  <c r="N418" i="1"/>
  <c r="O418" i="1"/>
  <c r="P418" i="1"/>
  <c r="Q418" i="1"/>
  <c r="R418" i="1"/>
  <c r="S418" i="1"/>
  <c r="K419" i="1"/>
  <c r="R419" i="1" s="1"/>
  <c r="L419" i="1"/>
  <c r="N419" i="1"/>
  <c r="O419" i="1"/>
  <c r="P419" i="1"/>
  <c r="Q419" i="1"/>
  <c r="S419" i="1"/>
  <c r="K420" i="1"/>
  <c r="L420" i="1"/>
  <c r="M420" i="1"/>
  <c r="N420" i="1"/>
  <c r="O420" i="1"/>
  <c r="P420" i="1"/>
  <c r="Q420" i="1"/>
  <c r="R420" i="1"/>
  <c r="S420" i="1"/>
  <c r="K421" i="1"/>
  <c r="R421" i="1" s="1"/>
  <c r="L421" i="1"/>
  <c r="M421" i="1"/>
  <c r="N421" i="1"/>
  <c r="O421" i="1"/>
  <c r="P421" i="1"/>
  <c r="Q421" i="1"/>
  <c r="S421" i="1"/>
  <c r="K422" i="1"/>
  <c r="R422" i="1" s="1"/>
  <c r="L422" i="1"/>
  <c r="M422" i="1"/>
  <c r="N422" i="1"/>
  <c r="O422" i="1"/>
  <c r="P422" i="1"/>
  <c r="Q422" i="1"/>
  <c r="S422" i="1"/>
  <c r="K423" i="1"/>
  <c r="M423" i="1" s="1"/>
  <c r="L423" i="1"/>
  <c r="N423" i="1"/>
  <c r="O423" i="1"/>
  <c r="P423" i="1"/>
  <c r="Q423" i="1"/>
  <c r="S423" i="1"/>
  <c r="K424" i="1"/>
  <c r="M424" i="1" s="1"/>
  <c r="L424" i="1"/>
  <c r="N424" i="1"/>
  <c r="O424" i="1"/>
  <c r="P424" i="1"/>
  <c r="Q424" i="1"/>
  <c r="R424" i="1"/>
  <c r="S424" i="1"/>
  <c r="K425" i="1"/>
  <c r="L425" i="1"/>
  <c r="M425" i="1"/>
  <c r="N425" i="1"/>
  <c r="O425" i="1"/>
  <c r="P425" i="1"/>
  <c r="Q425" i="1"/>
  <c r="R425" i="1"/>
  <c r="S425" i="1"/>
  <c r="K426" i="1"/>
  <c r="M426" i="1" s="1"/>
  <c r="L426" i="1"/>
  <c r="N426" i="1"/>
  <c r="O426" i="1"/>
  <c r="P426" i="1"/>
  <c r="Q426" i="1"/>
  <c r="R426" i="1"/>
  <c r="S426" i="1"/>
  <c r="K427" i="1"/>
  <c r="R427" i="1" s="1"/>
  <c r="L427" i="1"/>
  <c r="N427" i="1"/>
  <c r="O427" i="1"/>
  <c r="P427" i="1"/>
  <c r="Q427" i="1"/>
  <c r="S427" i="1"/>
  <c r="K428" i="1"/>
  <c r="L428" i="1"/>
  <c r="M428" i="1"/>
  <c r="N428" i="1"/>
  <c r="O428" i="1"/>
  <c r="P428" i="1"/>
  <c r="Q428" i="1"/>
  <c r="R428" i="1"/>
  <c r="S428" i="1"/>
  <c r="K429" i="1"/>
  <c r="R429" i="1" s="1"/>
  <c r="L429" i="1"/>
  <c r="M429" i="1"/>
  <c r="N429" i="1"/>
  <c r="O429" i="1"/>
  <c r="P429" i="1"/>
  <c r="Q429" i="1"/>
  <c r="S429" i="1"/>
  <c r="K430" i="1"/>
  <c r="R430" i="1" s="1"/>
  <c r="L430" i="1"/>
  <c r="M430" i="1"/>
  <c r="N430" i="1"/>
  <c r="O430" i="1"/>
  <c r="P430" i="1"/>
  <c r="Q430" i="1"/>
  <c r="S430" i="1"/>
  <c r="K431" i="1"/>
  <c r="M431" i="1" s="1"/>
  <c r="L431" i="1"/>
  <c r="N431" i="1"/>
  <c r="O431" i="1"/>
  <c r="P431" i="1"/>
  <c r="Q431" i="1"/>
  <c r="S431" i="1"/>
  <c r="K432" i="1"/>
  <c r="M432" i="1" s="1"/>
  <c r="L432" i="1"/>
  <c r="N432" i="1"/>
  <c r="O432" i="1"/>
  <c r="P432" i="1"/>
  <c r="Q432" i="1"/>
  <c r="R432" i="1"/>
  <c r="S432" i="1"/>
  <c r="K433" i="1"/>
  <c r="L433" i="1"/>
  <c r="M433" i="1"/>
  <c r="N433" i="1"/>
  <c r="O433" i="1"/>
  <c r="P433" i="1"/>
  <c r="Q433" i="1"/>
  <c r="R433" i="1"/>
  <c r="S433" i="1"/>
  <c r="K434" i="1"/>
  <c r="M434" i="1" s="1"/>
  <c r="L434" i="1"/>
  <c r="N434" i="1"/>
  <c r="O434" i="1"/>
  <c r="P434" i="1"/>
  <c r="Q434" i="1"/>
  <c r="R434" i="1"/>
  <c r="S434" i="1"/>
  <c r="K435" i="1"/>
  <c r="R435" i="1" s="1"/>
  <c r="L435" i="1"/>
  <c r="N435" i="1"/>
  <c r="O435" i="1"/>
  <c r="P435" i="1"/>
  <c r="Q435" i="1"/>
  <c r="S435" i="1"/>
  <c r="K436" i="1"/>
  <c r="L436" i="1"/>
  <c r="M436" i="1"/>
  <c r="N436" i="1"/>
  <c r="O436" i="1"/>
  <c r="P436" i="1"/>
  <c r="Q436" i="1"/>
  <c r="R436" i="1"/>
  <c r="S436" i="1"/>
  <c r="K437" i="1"/>
  <c r="R437" i="1" s="1"/>
  <c r="L437" i="1"/>
  <c r="M437" i="1"/>
  <c r="N437" i="1"/>
  <c r="O437" i="1"/>
  <c r="P437" i="1"/>
  <c r="Q437" i="1"/>
  <c r="S437" i="1"/>
  <c r="K438" i="1"/>
  <c r="R438" i="1" s="1"/>
  <c r="L438" i="1"/>
  <c r="M438" i="1"/>
  <c r="N438" i="1"/>
  <c r="O438" i="1"/>
  <c r="P438" i="1"/>
  <c r="Q438" i="1"/>
  <c r="S438" i="1"/>
  <c r="K439" i="1"/>
  <c r="M439" i="1" s="1"/>
  <c r="L439" i="1"/>
  <c r="N439" i="1"/>
  <c r="O439" i="1"/>
  <c r="P439" i="1"/>
  <c r="Q439" i="1"/>
  <c r="S439" i="1"/>
  <c r="K440" i="1"/>
  <c r="M440" i="1" s="1"/>
  <c r="L440" i="1"/>
  <c r="N440" i="1"/>
  <c r="O440" i="1"/>
  <c r="P440" i="1"/>
  <c r="Q440" i="1"/>
  <c r="R440" i="1"/>
  <c r="S440" i="1"/>
  <c r="K441" i="1"/>
  <c r="L441" i="1"/>
  <c r="M441" i="1"/>
  <c r="N441" i="1"/>
  <c r="O441" i="1"/>
  <c r="P441" i="1"/>
  <c r="Q441" i="1"/>
  <c r="R441" i="1"/>
  <c r="S441" i="1"/>
  <c r="K442" i="1"/>
  <c r="M442" i="1" s="1"/>
  <c r="L442" i="1"/>
  <c r="N442" i="1"/>
  <c r="O442" i="1"/>
  <c r="P442" i="1"/>
  <c r="Q442" i="1"/>
  <c r="R442" i="1"/>
  <c r="S442" i="1"/>
  <c r="K443" i="1"/>
  <c r="R443" i="1" s="1"/>
  <c r="L443" i="1"/>
  <c r="N443" i="1"/>
  <c r="O443" i="1"/>
  <c r="P443" i="1"/>
  <c r="Q443" i="1"/>
  <c r="S443" i="1"/>
  <c r="K444" i="1"/>
  <c r="L444" i="1"/>
  <c r="M444" i="1"/>
  <c r="N444" i="1"/>
  <c r="O444" i="1"/>
  <c r="P444" i="1"/>
  <c r="Q444" i="1"/>
  <c r="R444" i="1"/>
  <c r="S444" i="1"/>
  <c r="K445" i="1"/>
  <c r="R445" i="1" s="1"/>
  <c r="L445" i="1"/>
  <c r="M445" i="1"/>
  <c r="N445" i="1"/>
  <c r="O445" i="1"/>
  <c r="P445" i="1"/>
  <c r="Q445" i="1"/>
  <c r="S445" i="1"/>
  <c r="K446" i="1"/>
  <c r="R446" i="1" s="1"/>
  <c r="L446" i="1"/>
  <c r="M446" i="1"/>
  <c r="N446" i="1"/>
  <c r="O446" i="1"/>
  <c r="P446" i="1"/>
  <c r="Q446" i="1"/>
  <c r="S446" i="1"/>
  <c r="K447" i="1"/>
  <c r="M447" i="1" s="1"/>
  <c r="L447" i="1"/>
  <c r="N447" i="1"/>
  <c r="O447" i="1"/>
  <c r="P447" i="1"/>
  <c r="Q447" i="1"/>
  <c r="S447" i="1"/>
  <c r="K448" i="1"/>
  <c r="M448" i="1" s="1"/>
  <c r="L448" i="1"/>
  <c r="N448" i="1"/>
  <c r="O448" i="1"/>
  <c r="P448" i="1"/>
  <c r="Q448" i="1"/>
  <c r="R448" i="1"/>
  <c r="S448" i="1"/>
  <c r="K449" i="1"/>
  <c r="L449" i="1"/>
  <c r="M449" i="1"/>
  <c r="N449" i="1"/>
  <c r="O449" i="1"/>
  <c r="P449" i="1"/>
  <c r="Q449" i="1"/>
  <c r="R449" i="1"/>
  <c r="S449" i="1"/>
  <c r="K450" i="1"/>
  <c r="M450" i="1" s="1"/>
  <c r="L450" i="1"/>
  <c r="N450" i="1"/>
  <c r="O450" i="1"/>
  <c r="P450" i="1"/>
  <c r="Q450" i="1"/>
  <c r="R450" i="1"/>
  <c r="S450" i="1"/>
  <c r="K451" i="1"/>
  <c r="R451" i="1" s="1"/>
  <c r="L451" i="1"/>
  <c r="N451" i="1"/>
  <c r="O451" i="1"/>
  <c r="P451" i="1"/>
  <c r="Q451" i="1"/>
  <c r="S451" i="1"/>
  <c r="K452" i="1"/>
  <c r="L452" i="1"/>
  <c r="M452" i="1"/>
  <c r="N452" i="1"/>
  <c r="O452" i="1"/>
  <c r="P452" i="1"/>
  <c r="Q452" i="1"/>
  <c r="R452" i="1"/>
  <c r="S452" i="1"/>
  <c r="K453" i="1"/>
  <c r="R453" i="1" s="1"/>
  <c r="L453" i="1"/>
  <c r="M453" i="1"/>
  <c r="N453" i="1"/>
  <c r="O453" i="1"/>
  <c r="P453" i="1"/>
  <c r="Q453" i="1"/>
  <c r="S453" i="1"/>
  <c r="K454" i="1"/>
  <c r="M454" i="1" s="1"/>
  <c r="L454" i="1"/>
  <c r="N454" i="1"/>
  <c r="O454" i="1"/>
  <c r="P454" i="1"/>
  <c r="Q454" i="1"/>
  <c r="S454" i="1"/>
  <c r="K455" i="1"/>
  <c r="M455" i="1" s="1"/>
  <c r="L455" i="1"/>
  <c r="N455" i="1"/>
  <c r="O455" i="1"/>
  <c r="P455" i="1"/>
  <c r="Q455" i="1"/>
  <c r="S455" i="1"/>
  <c r="K456" i="1"/>
  <c r="M456" i="1" s="1"/>
  <c r="L456" i="1"/>
  <c r="N456" i="1"/>
  <c r="O456" i="1"/>
  <c r="P456" i="1"/>
  <c r="Q456" i="1"/>
  <c r="R456" i="1"/>
  <c r="S456" i="1"/>
  <c r="K457" i="1"/>
  <c r="L457" i="1"/>
  <c r="M457" i="1"/>
  <c r="N457" i="1"/>
  <c r="O457" i="1"/>
  <c r="P457" i="1"/>
  <c r="Q457" i="1"/>
  <c r="R457" i="1"/>
  <c r="S457" i="1"/>
  <c r="K458" i="1"/>
  <c r="M458" i="1" s="1"/>
  <c r="L458" i="1"/>
  <c r="N458" i="1"/>
  <c r="O458" i="1"/>
  <c r="P458" i="1"/>
  <c r="Q458" i="1"/>
  <c r="R458" i="1"/>
  <c r="S458" i="1"/>
  <c r="K459" i="1"/>
  <c r="R459" i="1" s="1"/>
  <c r="L459" i="1"/>
  <c r="N459" i="1"/>
  <c r="O459" i="1"/>
  <c r="P459" i="1"/>
  <c r="Q459" i="1"/>
  <c r="S459" i="1"/>
  <c r="K460" i="1"/>
  <c r="L460" i="1"/>
  <c r="M460" i="1"/>
  <c r="N460" i="1"/>
  <c r="O460" i="1"/>
  <c r="P460" i="1"/>
  <c r="Q460" i="1"/>
  <c r="R460" i="1"/>
  <c r="S460" i="1"/>
  <c r="K461" i="1"/>
  <c r="R461" i="1" s="1"/>
  <c r="L461" i="1"/>
  <c r="M461" i="1"/>
  <c r="N461" i="1"/>
  <c r="O461" i="1"/>
  <c r="P461" i="1"/>
  <c r="Q461" i="1"/>
  <c r="S461" i="1"/>
  <c r="K462" i="1"/>
  <c r="M462" i="1" s="1"/>
  <c r="L462" i="1"/>
  <c r="N462" i="1"/>
  <c r="O462" i="1"/>
  <c r="P462" i="1"/>
  <c r="Q462" i="1"/>
  <c r="S462" i="1"/>
  <c r="K463" i="1"/>
  <c r="M463" i="1" s="1"/>
  <c r="L463" i="1"/>
  <c r="N463" i="1"/>
  <c r="O463" i="1"/>
  <c r="P463" i="1"/>
  <c r="Q463" i="1"/>
  <c r="R463" i="1"/>
  <c r="S463" i="1"/>
  <c r="K464" i="1"/>
  <c r="M464" i="1" s="1"/>
  <c r="L464" i="1"/>
  <c r="N464" i="1"/>
  <c r="O464" i="1"/>
  <c r="P464" i="1"/>
  <c r="Q464" i="1"/>
  <c r="R464" i="1"/>
  <c r="S464" i="1"/>
  <c r="K465" i="1"/>
  <c r="L465" i="1"/>
  <c r="M465" i="1"/>
  <c r="N465" i="1"/>
  <c r="O465" i="1"/>
  <c r="P465" i="1"/>
  <c r="Q465" i="1"/>
  <c r="R465" i="1"/>
  <c r="S465" i="1"/>
  <c r="K466" i="1"/>
  <c r="M466" i="1" s="1"/>
  <c r="L466" i="1"/>
  <c r="N466" i="1"/>
  <c r="O466" i="1"/>
  <c r="P466" i="1"/>
  <c r="Q466" i="1"/>
  <c r="R466" i="1"/>
  <c r="S466" i="1"/>
  <c r="K467" i="1"/>
  <c r="R467" i="1" s="1"/>
  <c r="L467" i="1"/>
  <c r="N467" i="1"/>
  <c r="O467" i="1"/>
  <c r="P467" i="1"/>
  <c r="Q467" i="1"/>
  <c r="S467" i="1"/>
  <c r="K468" i="1"/>
  <c r="L468" i="1"/>
  <c r="M468" i="1"/>
  <c r="N468" i="1"/>
  <c r="O468" i="1"/>
  <c r="P468" i="1"/>
  <c r="Q468" i="1"/>
  <c r="R468" i="1"/>
  <c r="S468" i="1"/>
  <c r="K469" i="1"/>
  <c r="R469" i="1" s="1"/>
  <c r="L469" i="1"/>
  <c r="M469" i="1"/>
  <c r="N469" i="1"/>
  <c r="O469" i="1"/>
  <c r="P469" i="1"/>
  <c r="Q469" i="1"/>
  <c r="S469" i="1"/>
  <c r="K470" i="1"/>
  <c r="M470" i="1" s="1"/>
  <c r="L470" i="1"/>
  <c r="N470" i="1"/>
  <c r="O470" i="1"/>
  <c r="P470" i="1"/>
  <c r="Q470" i="1"/>
  <c r="S470" i="1"/>
  <c r="K471" i="1"/>
  <c r="M471" i="1" s="1"/>
  <c r="L471" i="1"/>
  <c r="N471" i="1"/>
  <c r="O471" i="1"/>
  <c r="P471" i="1"/>
  <c r="Q471" i="1"/>
  <c r="R471" i="1"/>
  <c r="S471" i="1"/>
  <c r="K472" i="1"/>
  <c r="M472" i="1" s="1"/>
  <c r="L472" i="1"/>
  <c r="N472" i="1"/>
  <c r="O472" i="1"/>
  <c r="P472" i="1"/>
  <c r="Q472" i="1"/>
  <c r="R472" i="1"/>
  <c r="S472" i="1"/>
  <c r="K473" i="1"/>
  <c r="L473" i="1"/>
  <c r="M473" i="1"/>
  <c r="N473" i="1"/>
  <c r="O473" i="1"/>
  <c r="P473" i="1"/>
  <c r="Q473" i="1"/>
  <c r="R473" i="1"/>
  <c r="S473" i="1"/>
  <c r="K474" i="1"/>
  <c r="M474" i="1" s="1"/>
  <c r="L474" i="1"/>
  <c r="N474" i="1"/>
  <c r="O474" i="1"/>
  <c r="P474" i="1"/>
  <c r="Q474" i="1"/>
  <c r="R474" i="1"/>
  <c r="S474" i="1"/>
  <c r="K475" i="1"/>
  <c r="R475" i="1" s="1"/>
  <c r="L475" i="1"/>
  <c r="N475" i="1"/>
  <c r="O475" i="1"/>
  <c r="P475" i="1"/>
  <c r="Q475" i="1"/>
  <c r="S475" i="1"/>
  <c r="K476" i="1"/>
  <c r="L476" i="1"/>
  <c r="M476" i="1"/>
  <c r="N476" i="1"/>
  <c r="O476" i="1"/>
  <c r="P476" i="1"/>
  <c r="Q476" i="1"/>
  <c r="R476" i="1"/>
  <c r="S476" i="1"/>
  <c r="K477" i="1"/>
  <c r="R477" i="1" s="1"/>
  <c r="L477" i="1"/>
  <c r="M477" i="1"/>
  <c r="N477" i="1"/>
  <c r="O477" i="1"/>
  <c r="P477" i="1"/>
  <c r="Q477" i="1"/>
  <c r="S477" i="1"/>
  <c r="K478" i="1"/>
  <c r="M478" i="1" s="1"/>
  <c r="L478" i="1"/>
  <c r="N478" i="1"/>
  <c r="O478" i="1"/>
  <c r="P478" i="1"/>
  <c r="Q478" i="1"/>
  <c r="S478" i="1"/>
  <c r="K479" i="1"/>
  <c r="M479" i="1" s="1"/>
  <c r="L479" i="1"/>
  <c r="N479" i="1"/>
  <c r="O479" i="1"/>
  <c r="P479" i="1"/>
  <c r="Q479" i="1"/>
  <c r="S479" i="1"/>
  <c r="K480" i="1"/>
  <c r="M480" i="1" s="1"/>
  <c r="L480" i="1"/>
  <c r="N480" i="1"/>
  <c r="O480" i="1"/>
  <c r="P480" i="1"/>
  <c r="Q480" i="1"/>
  <c r="R480" i="1"/>
  <c r="S480" i="1"/>
  <c r="K481" i="1"/>
  <c r="L481" i="1"/>
  <c r="M481" i="1"/>
  <c r="N481" i="1"/>
  <c r="O481" i="1"/>
  <c r="P481" i="1"/>
  <c r="Q481" i="1"/>
  <c r="R481" i="1"/>
  <c r="S481" i="1"/>
  <c r="K482" i="1"/>
  <c r="M482" i="1" s="1"/>
  <c r="L482" i="1"/>
  <c r="N482" i="1"/>
  <c r="O482" i="1"/>
  <c r="P482" i="1"/>
  <c r="Q482" i="1"/>
  <c r="R482" i="1"/>
  <c r="S482" i="1"/>
  <c r="K483" i="1"/>
  <c r="R483" i="1" s="1"/>
  <c r="L483" i="1"/>
  <c r="N483" i="1"/>
  <c r="O483" i="1"/>
  <c r="P483" i="1"/>
  <c r="Q483" i="1"/>
  <c r="S483" i="1"/>
  <c r="K484" i="1"/>
  <c r="L484" i="1"/>
  <c r="M484" i="1"/>
  <c r="N484" i="1"/>
  <c r="O484" i="1"/>
  <c r="P484" i="1"/>
  <c r="Q484" i="1"/>
  <c r="R484" i="1"/>
  <c r="S484" i="1"/>
  <c r="K485" i="1"/>
  <c r="R485" i="1" s="1"/>
  <c r="L485" i="1"/>
  <c r="M485" i="1"/>
  <c r="N485" i="1"/>
  <c r="O485" i="1"/>
  <c r="P485" i="1"/>
  <c r="Q485" i="1"/>
  <c r="S485" i="1"/>
  <c r="K486" i="1"/>
  <c r="M486" i="1" s="1"/>
  <c r="L486" i="1"/>
  <c r="N486" i="1"/>
  <c r="O486" i="1"/>
  <c r="P486" i="1"/>
  <c r="Q486" i="1"/>
  <c r="S486" i="1"/>
  <c r="K487" i="1"/>
  <c r="M487" i="1" s="1"/>
  <c r="L487" i="1"/>
  <c r="N487" i="1"/>
  <c r="O487" i="1"/>
  <c r="P487" i="1"/>
  <c r="Q487" i="1"/>
  <c r="S487" i="1"/>
  <c r="K488" i="1"/>
  <c r="M488" i="1" s="1"/>
  <c r="L488" i="1"/>
  <c r="N488" i="1"/>
  <c r="O488" i="1"/>
  <c r="P488" i="1"/>
  <c r="Q488" i="1"/>
  <c r="R488" i="1"/>
  <c r="S488" i="1"/>
  <c r="K489" i="1"/>
  <c r="L489" i="1"/>
  <c r="M489" i="1"/>
  <c r="N489" i="1"/>
  <c r="O489" i="1"/>
  <c r="P489" i="1"/>
  <c r="Q489" i="1"/>
  <c r="R489" i="1"/>
  <c r="S489" i="1"/>
  <c r="K490" i="1"/>
  <c r="M490" i="1" s="1"/>
  <c r="L490" i="1"/>
  <c r="N490" i="1"/>
  <c r="O490" i="1"/>
  <c r="P490" i="1"/>
  <c r="Q490" i="1"/>
  <c r="R490" i="1"/>
  <c r="S490" i="1"/>
  <c r="K491" i="1"/>
  <c r="R491" i="1" s="1"/>
  <c r="L491" i="1"/>
  <c r="N491" i="1"/>
  <c r="O491" i="1"/>
  <c r="P491" i="1"/>
  <c r="Q491" i="1"/>
  <c r="S491" i="1"/>
  <c r="K492" i="1"/>
  <c r="L492" i="1"/>
  <c r="M492" i="1"/>
  <c r="N492" i="1"/>
  <c r="O492" i="1"/>
  <c r="P492" i="1"/>
  <c r="Q492" i="1"/>
  <c r="R492" i="1"/>
  <c r="S492" i="1"/>
  <c r="K493" i="1"/>
  <c r="R493" i="1" s="1"/>
  <c r="L493" i="1"/>
  <c r="M493" i="1"/>
  <c r="N493" i="1"/>
  <c r="O493" i="1"/>
  <c r="P493" i="1"/>
  <c r="Q493" i="1"/>
  <c r="S493" i="1"/>
  <c r="K494" i="1"/>
  <c r="M494" i="1" s="1"/>
  <c r="L494" i="1"/>
  <c r="N494" i="1"/>
  <c r="O494" i="1"/>
  <c r="P494" i="1"/>
  <c r="Q494" i="1"/>
  <c r="S494" i="1"/>
  <c r="K495" i="1"/>
  <c r="L495" i="1"/>
  <c r="N495" i="1"/>
  <c r="O495" i="1"/>
  <c r="P495" i="1"/>
  <c r="Q495" i="1"/>
  <c r="S495" i="1"/>
  <c r="K496" i="1"/>
  <c r="M496" i="1" s="1"/>
  <c r="L496" i="1"/>
  <c r="N496" i="1"/>
  <c r="O496" i="1"/>
  <c r="P496" i="1"/>
  <c r="Q496" i="1"/>
  <c r="R496" i="1"/>
  <c r="S496" i="1"/>
  <c r="K497" i="1"/>
  <c r="L497" i="1"/>
  <c r="M497" i="1"/>
  <c r="N497" i="1"/>
  <c r="O497" i="1"/>
  <c r="P497" i="1"/>
  <c r="Q497" i="1"/>
  <c r="R497" i="1"/>
  <c r="S497" i="1"/>
  <c r="K498" i="1"/>
  <c r="L498" i="1"/>
  <c r="M498" i="1"/>
  <c r="N498" i="1"/>
  <c r="O498" i="1"/>
  <c r="P498" i="1"/>
  <c r="Q498" i="1"/>
  <c r="R498" i="1"/>
  <c r="S498" i="1"/>
  <c r="K499" i="1"/>
  <c r="R499" i="1" s="1"/>
  <c r="L499" i="1"/>
  <c r="N499" i="1"/>
  <c r="O499" i="1"/>
  <c r="P499" i="1"/>
  <c r="Q499" i="1"/>
  <c r="S499" i="1"/>
  <c r="K500" i="1"/>
  <c r="L500" i="1"/>
  <c r="M500" i="1"/>
  <c r="N500" i="1"/>
  <c r="O500" i="1"/>
  <c r="P500" i="1"/>
  <c r="Q500" i="1"/>
  <c r="R500" i="1"/>
  <c r="S500" i="1"/>
  <c r="R455" i="1" l="1"/>
  <c r="R447" i="1"/>
  <c r="R439" i="1"/>
  <c r="R431" i="1"/>
  <c r="R423" i="1"/>
  <c r="R415" i="1"/>
  <c r="R407" i="1"/>
  <c r="R399" i="1"/>
  <c r="R391" i="1"/>
  <c r="R383" i="1"/>
  <c r="R375" i="1"/>
  <c r="R367" i="1"/>
  <c r="R359" i="1"/>
  <c r="R351" i="1"/>
  <c r="R343" i="1"/>
  <c r="R333" i="1"/>
  <c r="R320" i="1"/>
  <c r="R296" i="1"/>
  <c r="R287" i="1"/>
  <c r="M287" i="1"/>
  <c r="R227" i="1"/>
  <c r="M227" i="1"/>
  <c r="M499" i="1"/>
  <c r="R494" i="1"/>
  <c r="M491" i="1"/>
  <c r="R486" i="1"/>
  <c r="M483" i="1"/>
  <c r="R478" i="1"/>
  <c r="M475" i="1"/>
  <c r="R470" i="1"/>
  <c r="M467" i="1"/>
  <c r="R462" i="1"/>
  <c r="M459" i="1"/>
  <c r="R454" i="1"/>
  <c r="M451" i="1"/>
  <c r="M443" i="1"/>
  <c r="M435" i="1"/>
  <c r="M427" i="1"/>
  <c r="M419" i="1"/>
  <c r="M411" i="1"/>
  <c r="M403" i="1"/>
  <c r="M395" i="1"/>
  <c r="M387" i="1"/>
  <c r="M379" i="1"/>
  <c r="M371" i="1"/>
  <c r="M363" i="1"/>
  <c r="M355" i="1"/>
  <c r="M347" i="1"/>
  <c r="R342" i="1"/>
  <c r="M339" i="1"/>
  <c r="M338" i="1"/>
  <c r="R332" i="1"/>
  <c r="M328" i="1"/>
  <c r="M326" i="1"/>
  <c r="R319" i="1"/>
  <c r="M312" i="1"/>
  <c r="M306" i="1"/>
  <c r="R292" i="1"/>
  <c r="R291" i="1"/>
  <c r="R311" i="1"/>
  <c r="M311" i="1"/>
  <c r="R279" i="1"/>
  <c r="M279" i="1"/>
  <c r="R275" i="1"/>
  <c r="M275" i="1"/>
  <c r="M324" i="1"/>
  <c r="M322" i="1"/>
  <c r="M304" i="1"/>
  <c r="M298" i="1"/>
  <c r="R267" i="1"/>
  <c r="M267" i="1"/>
  <c r="R495" i="1"/>
  <c r="R487" i="1"/>
  <c r="R479" i="1"/>
  <c r="R303" i="1"/>
  <c r="M303" i="1"/>
  <c r="R259" i="1"/>
  <c r="M259" i="1"/>
  <c r="M495" i="1"/>
  <c r="R327" i="1"/>
  <c r="M318" i="1"/>
  <c r="M290" i="1"/>
  <c r="R251" i="1"/>
  <c r="M251" i="1"/>
  <c r="R295" i="1"/>
  <c r="M295" i="1"/>
  <c r="R243" i="1"/>
  <c r="M243" i="1"/>
  <c r="R235" i="1"/>
  <c r="M235" i="1"/>
  <c r="M271" i="1"/>
  <c r="M263" i="1"/>
  <c r="M255" i="1"/>
  <c r="M247" i="1"/>
  <c r="M239" i="1"/>
  <c r="M231" i="1"/>
  <c r="M223" i="1"/>
  <c r="M215" i="1"/>
  <c r="M207" i="1"/>
  <c r="M199" i="1"/>
  <c r="M191" i="1"/>
  <c r="M183" i="1"/>
  <c r="M175" i="1"/>
  <c r="M167" i="1"/>
  <c r="M159" i="1"/>
  <c r="M151" i="1"/>
  <c r="M143" i="1"/>
  <c r="M174" i="1"/>
  <c r="M166" i="1"/>
  <c r="M158" i="1"/>
  <c r="M150" i="1"/>
  <c r="M142" i="1"/>
  <c r="M134" i="1"/>
  <c r="M126" i="1"/>
  <c r="M118" i="1"/>
  <c r="M110" i="1"/>
  <c r="M102" i="1"/>
  <c r="M94" i="1"/>
  <c r="M86" i="1"/>
  <c r="M78" i="1"/>
  <c r="M70" i="1"/>
  <c r="M62" i="1"/>
  <c r="M54" i="1"/>
  <c r="M46" i="1"/>
  <c r="M38" i="1"/>
  <c r="M30" i="1"/>
  <c r="M22" i="1"/>
  <c r="M14" i="1"/>
  <c r="M6" i="1"/>
  <c r="M219" i="1"/>
  <c r="M211" i="1"/>
  <c r="M203" i="1"/>
  <c r="M195" i="1"/>
  <c r="M187" i="1"/>
  <c r="M179" i="1"/>
  <c r="M171" i="1"/>
  <c r="M163" i="1"/>
  <c r="M155" i="1"/>
  <c r="M147" i="1"/>
  <c r="M139" i="1"/>
  <c r="M131" i="1"/>
  <c r="M123" i="1"/>
  <c r="M115" i="1"/>
  <c r="M107" i="1"/>
  <c r="M99" i="1"/>
  <c r="M91" i="1"/>
  <c r="M83" i="1"/>
  <c r="M75" i="1"/>
  <c r="M67" i="1"/>
  <c r="M59" i="1"/>
  <c r="M51" i="1"/>
  <c r="M43" i="1"/>
  <c r="M35" i="1"/>
  <c r="M27" i="1"/>
  <c r="M19" i="1"/>
  <c r="M11" i="1"/>
  <c r="M3" i="1"/>
</calcChain>
</file>

<file path=xl/sharedStrings.xml><?xml version="1.0" encoding="utf-8"?>
<sst xmlns="http://schemas.openxmlformats.org/spreadsheetml/2006/main" count="3013" uniqueCount="1040">
  <si>
    <t>Istinye Park</t>
  </si>
  <si>
    <t>Credit Card</t>
  </si>
  <si>
    <t>Toys</t>
  </si>
  <si>
    <t>Female</t>
  </si>
  <si>
    <t>C107668</t>
  </si>
  <si>
    <t>I120615</t>
  </si>
  <si>
    <t>Viaport Outlet</t>
  </si>
  <si>
    <t>Debit Card</t>
  </si>
  <si>
    <t>Clothing</t>
  </si>
  <si>
    <t>C330021</t>
  </si>
  <si>
    <t>I108543</t>
  </si>
  <si>
    <t>Metrocity</t>
  </si>
  <si>
    <t>Male</t>
  </si>
  <si>
    <t>C805154</t>
  </si>
  <si>
    <t>I168181</t>
  </si>
  <si>
    <t>Cash</t>
  </si>
  <si>
    <t>Food &amp; Beverage</t>
  </si>
  <si>
    <t>C230641</t>
  </si>
  <si>
    <t>I328822</t>
  </si>
  <si>
    <t>Cosmetics</t>
  </si>
  <si>
    <t>C123201</t>
  </si>
  <si>
    <t>I338302</t>
  </si>
  <si>
    <t>Mall of Istanbul</t>
  </si>
  <si>
    <t>Souvenir</t>
  </si>
  <si>
    <t>C737782</t>
  </si>
  <si>
    <t>I454983</t>
  </si>
  <si>
    <t>C232330</t>
  </si>
  <si>
    <t>I943403</t>
  </si>
  <si>
    <t>Kanyon</t>
  </si>
  <si>
    <t>C261194</t>
  </si>
  <si>
    <t>I101832</t>
  </si>
  <si>
    <t>Shoes</t>
  </si>
  <si>
    <t>C109491</t>
  </si>
  <si>
    <t>I187160</t>
  </si>
  <si>
    <t>C282395</t>
  </si>
  <si>
    <t>I299533</t>
  </si>
  <si>
    <t>C323605</t>
  </si>
  <si>
    <t>I722730</t>
  </si>
  <si>
    <t>Emaar Square Mall</t>
  </si>
  <si>
    <t>C315209</t>
  </si>
  <si>
    <t>I156991</t>
  </si>
  <si>
    <t>C202057</t>
  </si>
  <si>
    <t>I842493</t>
  </si>
  <si>
    <t>C127945</t>
  </si>
  <si>
    <t>I153278</t>
  </si>
  <si>
    <t>C194330</t>
  </si>
  <si>
    <t>I637675</t>
  </si>
  <si>
    <t>C289802</t>
  </si>
  <si>
    <t>I873382</t>
  </si>
  <si>
    <t>C432132</t>
  </si>
  <si>
    <t>I730771</t>
  </si>
  <si>
    <t>C249092</t>
  </si>
  <si>
    <t>I197620</t>
  </si>
  <si>
    <t>C175449</t>
  </si>
  <si>
    <t>I150629</t>
  </si>
  <si>
    <t>C337644</t>
  </si>
  <si>
    <t>I312041</t>
  </si>
  <si>
    <t>C994327</t>
  </si>
  <si>
    <t>I337030</t>
  </si>
  <si>
    <t>C299172</t>
  </si>
  <si>
    <t>I208491</t>
  </si>
  <si>
    <t>Books</t>
  </si>
  <si>
    <t>C264767</t>
  </si>
  <si>
    <t>I702817</t>
  </si>
  <si>
    <t>C197308</t>
  </si>
  <si>
    <t>I149766</t>
  </si>
  <si>
    <t>C195413</t>
  </si>
  <si>
    <t>I763131</t>
  </si>
  <si>
    <t>Metropol AVM</t>
  </si>
  <si>
    <t>C246364</t>
  </si>
  <si>
    <t>I508173</t>
  </si>
  <si>
    <t>C240688</t>
  </si>
  <si>
    <t>I253083</t>
  </si>
  <si>
    <t>C100684</t>
  </si>
  <si>
    <t>I499170</t>
  </si>
  <si>
    <t>C248884</t>
  </si>
  <si>
    <t>I950429</t>
  </si>
  <si>
    <t>C164662</t>
  </si>
  <si>
    <t>I154122</t>
  </si>
  <si>
    <t>C127339</t>
  </si>
  <si>
    <t>I284262</t>
  </si>
  <si>
    <t>C736428</t>
  </si>
  <si>
    <t>I137065</t>
  </si>
  <si>
    <t>C122371</t>
  </si>
  <si>
    <t>I216889</t>
  </si>
  <si>
    <t>C266394</t>
  </si>
  <si>
    <t>I246114</t>
  </si>
  <si>
    <t>C115431</t>
  </si>
  <si>
    <t>I237018</t>
  </si>
  <si>
    <t>C947114</t>
  </si>
  <si>
    <t>I207389</t>
  </si>
  <si>
    <t>C197019</t>
  </si>
  <si>
    <t>I166306</t>
  </si>
  <si>
    <t>C246484</t>
  </si>
  <si>
    <t>I434161</t>
  </si>
  <si>
    <t>C158124</t>
  </si>
  <si>
    <t>I332620</t>
  </si>
  <si>
    <t>Forum Istanbul</t>
  </si>
  <si>
    <t>C225105</t>
  </si>
  <si>
    <t>I206026</t>
  </si>
  <si>
    <t>C213360</t>
  </si>
  <si>
    <t>I100487</t>
  </si>
  <si>
    <t>Cevahir AVM</t>
  </si>
  <si>
    <t>C232103</t>
  </si>
  <si>
    <t>I301404</t>
  </si>
  <si>
    <t>C203263</t>
  </si>
  <si>
    <t>I472275</t>
  </si>
  <si>
    <t>Zorlu Center</t>
  </si>
  <si>
    <t>C209440</t>
  </si>
  <si>
    <t>I295482</t>
  </si>
  <si>
    <t>C222102</t>
  </si>
  <si>
    <t>I236520</t>
  </si>
  <si>
    <t>Technology</t>
  </si>
  <si>
    <t>C258089</t>
  </si>
  <si>
    <t>I194798</t>
  </si>
  <si>
    <t>C290760</t>
  </si>
  <si>
    <t>I136509</t>
  </si>
  <si>
    <t>C253248</t>
  </si>
  <si>
    <t>I307376</t>
  </si>
  <si>
    <t>C115148</t>
  </si>
  <si>
    <t>I568785</t>
  </si>
  <si>
    <t>C221607</t>
  </si>
  <si>
    <t>I334469</t>
  </si>
  <si>
    <t>C308978</t>
  </si>
  <si>
    <t>I284431</t>
  </si>
  <si>
    <t>C270238</t>
  </si>
  <si>
    <t>I318626</t>
  </si>
  <si>
    <t>C109593</t>
  </si>
  <si>
    <t>I423124</t>
  </si>
  <si>
    <t>C259260</t>
  </si>
  <si>
    <t>I995914</t>
  </si>
  <si>
    <t>C284031</t>
  </si>
  <si>
    <t>I721903</t>
  </si>
  <si>
    <t>C135196</t>
  </si>
  <si>
    <t>I557864</t>
  </si>
  <si>
    <t>C387164</t>
  </si>
  <si>
    <t>I946433</t>
  </si>
  <si>
    <t>C214463</t>
  </si>
  <si>
    <t>I180632</t>
  </si>
  <si>
    <t>C109758</t>
  </si>
  <si>
    <t>I293115</t>
  </si>
  <si>
    <t>C310975</t>
  </si>
  <si>
    <t>I269945</t>
  </si>
  <si>
    <t>C208545</t>
  </si>
  <si>
    <t>I571614</t>
  </si>
  <si>
    <t>C252250</t>
  </si>
  <si>
    <t>I252340</t>
  </si>
  <si>
    <t>C729802</t>
  </si>
  <si>
    <t>I131492</t>
  </si>
  <si>
    <t>C134691</t>
  </si>
  <si>
    <t>I846943</t>
  </si>
  <si>
    <t>C803666</t>
  </si>
  <si>
    <t>I241028</t>
  </si>
  <si>
    <t>C320640</t>
  </si>
  <si>
    <t>I589196</t>
  </si>
  <si>
    <t>C125209</t>
  </si>
  <si>
    <t>I245250</t>
  </si>
  <si>
    <t>C153958</t>
  </si>
  <si>
    <t>I323436</t>
  </si>
  <si>
    <t>C291911</t>
  </si>
  <si>
    <t>I941223</t>
  </si>
  <si>
    <t>C331880</t>
  </si>
  <si>
    <t>I177317</t>
  </si>
  <si>
    <t>C162574</t>
  </si>
  <si>
    <t>I263473</t>
  </si>
  <si>
    <t>C248988</t>
  </si>
  <si>
    <t>I926542</t>
  </si>
  <si>
    <t>C111115</t>
  </si>
  <si>
    <t>I104404</t>
  </si>
  <si>
    <t>C124933</t>
  </si>
  <si>
    <t>I381853</t>
  </si>
  <si>
    <t>C304835</t>
  </si>
  <si>
    <t>I884439</t>
  </si>
  <si>
    <t>C229733</t>
  </si>
  <si>
    <t>I638444</t>
  </si>
  <si>
    <t>C137912</t>
  </si>
  <si>
    <t>I151031</t>
  </si>
  <si>
    <t>C403983</t>
  </si>
  <si>
    <t>I131076</t>
  </si>
  <si>
    <t>C321931</t>
  </si>
  <si>
    <t>I152252</t>
  </si>
  <si>
    <t>C218706</t>
  </si>
  <si>
    <t>I527111</t>
  </si>
  <si>
    <t>C327084</t>
  </si>
  <si>
    <t>I188384</t>
  </si>
  <si>
    <t>C653357</t>
  </si>
  <si>
    <t>I177957</t>
  </si>
  <si>
    <t>C107261</t>
  </si>
  <si>
    <t>I264491</t>
  </si>
  <si>
    <t>C335822</t>
  </si>
  <si>
    <t>I678313</t>
  </si>
  <si>
    <t>C234177</t>
  </si>
  <si>
    <t>I119469</t>
  </si>
  <si>
    <t>C281864</t>
  </si>
  <si>
    <t>I301538</t>
  </si>
  <si>
    <t>C211354</t>
  </si>
  <si>
    <t>I107255</t>
  </si>
  <si>
    <t>C297711</t>
  </si>
  <si>
    <t>I275695</t>
  </si>
  <si>
    <t>C310628</t>
  </si>
  <si>
    <t>I215373</t>
  </si>
  <si>
    <t>C141094</t>
  </si>
  <si>
    <t>I228150</t>
  </si>
  <si>
    <t>C217049</t>
  </si>
  <si>
    <t>I319997</t>
  </si>
  <si>
    <t>C285422</t>
  </si>
  <si>
    <t>I735039</t>
  </si>
  <si>
    <t>C220859</t>
  </si>
  <si>
    <t>I533184</t>
  </si>
  <si>
    <t>C246719</t>
  </si>
  <si>
    <t>I183840</t>
  </si>
  <si>
    <t>C992967</t>
  </si>
  <si>
    <t>I326925</t>
  </si>
  <si>
    <t>C107399</t>
  </si>
  <si>
    <t>I434983</t>
  </si>
  <si>
    <t>C311195</t>
  </si>
  <si>
    <t>I231070</t>
  </si>
  <si>
    <t>C167183</t>
  </si>
  <si>
    <t>I258204</t>
  </si>
  <si>
    <t>C433234</t>
  </si>
  <si>
    <t>I227030</t>
  </si>
  <si>
    <t>C281502</t>
  </si>
  <si>
    <t>I240224</t>
  </si>
  <si>
    <t>C324783</t>
  </si>
  <si>
    <t>I306136</t>
  </si>
  <si>
    <t>C812053</t>
  </si>
  <si>
    <t>I160636</t>
  </si>
  <si>
    <t>C129976</t>
  </si>
  <si>
    <t>I278519</t>
  </si>
  <si>
    <t>C233697</t>
  </si>
  <si>
    <t>I177664</t>
  </si>
  <si>
    <t>C282397</t>
  </si>
  <si>
    <t>I308341</t>
  </si>
  <si>
    <t>C302831</t>
  </si>
  <si>
    <t>I186255</t>
  </si>
  <si>
    <t>C211494</t>
  </si>
  <si>
    <t>I147387</t>
  </si>
  <si>
    <t>C333065</t>
  </si>
  <si>
    <t>I252528</t>
  </si>
  <si>
    <t>C259606</t>
  </si>
  <si>
    <t>I163771</t>
  </si>
  <si>
    <t>C116633</t>
  </si>
  <si>
    <t>I300799</t>
  </si>
  <si>
    <t>C309079</t>
  </si>
  <si>
    <t>I214129</t>
  </si>
  <si>
    <t>C236397</t>
  </si>
  <si>
    <t>I217650</t>
  </si>
  <si>
    <t>C222906</t>
  </si>
  <si>
    <t>I289611</t>
  </si>
  <si>
    <t>C297425</t>
  </si>
  <si>
    <t>I237375</t>
  </si>
  <si>
    <t>C402433</t>
  </si>
  <si>
    <t>I162719</t>
  </si>
  <si>
    <t>C144371</t>
  </si>
  <si>
    <t>I219334</t>
  </si>
  <si>
    <t>C286181</t>
  </si>
  <si>
    <t>I591015</t>
  </si>
  <si>
    <t>C224223</t>
  </si>
  <si>
    <t>I157441</t>
  </si>
  <si>
    <t>C545424</t>
  </si>
  <si>
    <t>I232809</t>
  </si>
  <si>
    <t>C317897</t>
  </si>
  <si>
    <t>I304567</t>
  </si>
  <si>
    <t>C266819</t>
  </si>
  <si>
    <t>I191967</t>
  </si>
  <si>
    <t>C306892</t>
  </si>
  <si>
    <t>I585560</t>
  </si>
  <si>
    <t>C486241</t>
  </si>
  <si>
    <t>I436935</t>
  </si>
  <si>
    <t>C567509</t>
  </si>
  <si>
    <t>I337094</t>
  </si>
  <si>
    <t>C155763</t>
  </si>
  <si>
    <t>I200646</t>
  </si>
  <si>
    <t>C183356</t>
  </si>
  <si>
    <t>I325619</t>
  </si>
  <si>
    <t>C321053</t>
  </si>
  <si>
    <t>I998874</t>
  </si>
  <si>
    <t>C208765</t>
  </si>
  <si>
    <t>I533062</t>
  </si>
  <si>
    <t>C244973</t>
  </si>
  <si>
    <t>I125700</t>
  </si>
  <si>
    <t>C260171</t>
  </si>
  <si>
    <t>I301451</t>
  </si>
  <si>
    <t>C119825</t>
  </si>
  <si>
    <t>I180980</t>
  </si>
  <si>
    <t>C162871</t>
  </si>
  <si>
    <t>I220285</t>
  </si>
  <si>
    <t>C204307</t>
  </si>
  <si>
    <t>I120850</t>
  </si>
  <si>
    <t>C212400</t>
  </si>
  <si>
    <t>I254142</t>
  </si>
  <si>
    <t>C262366</t>
  </si>
  <si>
    <t>I252777</t>
  </si>
  <si>
    <t>C462011</t>
  </si>
  <si>
    <t>I194017</t>
  </si>
  <si>
    <t>C944366</t>
  </si>
  <si>
    <t>I737965</t>
  </si>
  <si>
    <t>C885556</t>
  </si>
  <si>
    <t>I959386</t>
  </si>
  <si>
    <t>C210589</t>
  </si>
  <si>
    <t>I144046</t>
  </si>
  <si>
    <t>C260213</t>
  </si>
  <si>
    <t>I151181</t>
  </si>
  <si>
    <t>C100484</t>
  </si>
  <si>
    <t>I155404</t>
  </si>
  <si>
    <t>C142943</t>
  </si>
  <si>
    <t>I317354</t>
  </si>
  <si>
    <t>C287787</t>
  </si>
  <si>
    <t>I230221</t>
  </si>
  <si>
    <t>C126702</t>
  </si>
  <si>
    <t>I170966</t>
  </si>
  <si>
    <t>C329153</t>
  </si>
  <si>
    <t>I300847</t>
  </si>
  <si>
    <t>C209761</t>
  </si>
  <si>
    <t>I279688</t>
  </si>
  <si>
    <t>C241523</t>
  </si>
  <si>
    <t>I959992</t>
  </si>
  <si>
    <t>C216619</t>
  </si>
  <si>
    <t>I508712</t>
  </si>
  <si>
    <t>C308584</t>
  </si>
  <si>
    <t>I403818</t>
  </si>
  <si>
    <t>C238063</t>
  </si>
  <si>
    <t>I182578</t>
  </si>
  <si>
    <t>C230018</t>
  </si>
  <si>
    <t>I123315</t>
  </si>
  <si>
    <t>C767634</t>
  </si>
  <si>
    <t>I423782</t>
  </si>
  <si>
    <t>C280085</t>
  </si>
  <si>
    <t>I328691</t>
  </si>
  <si>
    <t>C729392</t>
  </si>
  <si>
    <t>I708279</t>
  </si>
  <si>
    <t>C259539</t>
  </si>
  <si>
    <t>I908600</t>
  </si>
  <si>
    <t>C453635</t>
  </si>
  <si>
    <t>I615452</t>
  </si>
  <si>
    <t>C509924</t>
  </si>
  <si>
    <t>I153842</t>
  </si>
  <si>
    <t>C327001</t>
  </si>
  <si>
    <t>I160687</t>
  </si>
  <si>
    <t>C286466</t>
  </si>
  <si>
    <t>I339496</t>
  </si>
  <si>
    <t>C277924</t>
  </si>
  <si>
    <t>I297539</t>
  </si>
  <si>
    <t>C276111</t>
  </si>
  <si>
    <t>I122118</t>
  </si>
  <si>
    <t>C122712</t>
  </si>
  <si>
    <t>I304591</t>
  </si>
  <si>
    <t>C314173</t>
  </si>
  <si>
    <t>I312499</t>
  </si>
  <si>
    <t>C334281</t>
  </si>
  <si>
    <t>I420592</t>
  </si>
  <si>
    <t>C670524</t>
  </si>
  <si>
    <t>I976566</t>
  </si>
  <si>
    <t>C260810</t>
  </si>
  <si>
    <t>I332582</t>
  </si>
  <si>
    <t>C144628</t>
  </si>
  <si>
    <t>I325491</t>
  </si>
  <si>
    <t>C799447</t>
  </si>
  <si>
    <t>I139437</t>
  </si>
  <si>
    <t>C790567</t>
  </si>
  <si>
    <t>I339004</t>
  </si>
  <si>
    <t>C294024</t>
  </si>
  <si>
    <t>I320007</t>
  </si>
  <si>
    <t>C617884</t>
  </si>
  <si>
    <t>I243930</t>
  </si>
  <si>
    <t>C287459</t>
  </si>
  <si>
    <t>I195735</t>
  </si>
  <si>
    <t>C154184</t>
  </si>
  <si>
    <t>I117526</t>
  </si>
  <si>
    <t>C278588</t>
  </si>
  <si>
    <t>I119142</t>
  </si>
  <si>
    <t>C236428</t>
  </si>
  <si>
    <t>I224122</t>
  </si>
  <si>
    <t>C986860</t>
  </si>
  <si>
    <t>I305432</t>
  </si>
  <si>
    <t>C317850</t>
  </si>
  <si>
    <t>I274190</t>
  </si>
  <si>
    <t>C605200</t>
  </si>
  <si>
    <t>I306845</t>
  </si>
  <si>
    <t>C259743</t>
  </si>
  <si>
    <t>I995407</t>
  </si>
  <si>
    <t>C312155</t>
  </si>
  <si>
    <t>I293086</t>
  </si>
  <si>
    <t>C730395</t>
  </si>
  <si>
    <t>I720017</t>
  </si>
  <si>
    <t>C290344</t>
  </si>
  <si>
    <t>I299125</t>
  </si>
  <si>
    <t>C204154</t>
  </si>
  <si>
    <t>I162186</t>
  </si>
  <si>
    <t>C207753</t>
  </si>
  <si>
    <t>I300557</t>
  </si>
  <si>
    <t>C260889</t>
  </si>
  <si>
    <t>I199384</t>
  </si>
  <si>
    <t>C103944</t>
  </si>
  <si>
    <t>I130799</t>
  </si>
  <si>
    <t>C235057</t>
  </si>
  <si>
    <t>I921232</t>
  </si>
  <si>
    <t>C339518</t>
  </si>
  <si>
    <t>I183571</t>
  </si>
  <si>
    <t>C165812</t>
  </si>
  <si>
    <t>I169894</t>
  </si>
  <si>
    <t>C101248</t>
  </si>
  <si>
    <t>I298805</t>
  </si>
  <si>
    <t>C267961</t>
  </si>
  <si>
    <t>I940840</t>
  </si>
  <si>
    <t>C305398</t>
  </si>
  <si>
    <t>I238456</t>
  </si>
  <si>
    <t>C329163</t>
  </si>
  <si>
    <t>I227707</t>
  </si>
  <si>
    <t>C266462</t>
  </si>
  <si>
    <t>I115679</t>
  </si>
  <si>
    <t>C136051</t>
  </si>
  <si>
    <t>I317443</t>
  </si>
  <si>
    <t>C269751</t>
  </si>
  <si>
    <t>I216982</t>
  </si>
  <si>
    <t>C274936</t>
  </si>
  <si>
    <t>I336817</t>
  </si>
  <si>
    <t>C852668</t>
  </si>
  <si>
    <t>I522612</t>
  </si>
  <si>
    <t>C282968</t>
  </si>
  <si>
    <t>I542618</t>
  </si>
  <si>
    <t>C330779</t>
  </si>
  <si>
    <t>I133197</t>
  </si>
  <si>
    <t>C278142</t>
  </si>
  <si>
    <t>I227154</t>
  </si>
  <si>
    <t>C101550</t>
  </si>
  <si>
    <t>I247747</t>
  </si>
  <si>
    <t>C296862</t>
  </si>
  <si>
    <t>I215906</t>
  </si>
  <si>
    <t>C999586</t>
  </si>
  <si>
    <t>I133240</t>
  </si>
  <si>
    <t>C111056</t>
  </si>
  <si>
    <t>I304665</t>
  </si>
  <si>
    <t>C208738</t>
  </si>
  <si>
    <t>I142738</t>
  </si>
  <si>
    <t>C358486</t>
  </si>
  <si>
    <t>I943072</t>
  </si>
  <si>
    <t>C310108</t>
  </si>
  <si>
    <t>I135898</t>
  </si>
  <si>
    <t>C130479</t>
  </si>
  <si>
    <t>I281274</t>
  </si>
  <si>
    <t>C267333</t>
  </si>
  <si>
    <t>I235828</t>
  </si>
  <si>
    <t>C826514</t>
  </si>
  <si>
    <t>I215141</t>
  </si>
  <si>
    <t>C104985</t>
  </si>
  <si>
    <t>I159487</t>
  </si>
  <si>
    <t>C221838</t>
  </si>
  <si>
    <t>I191148</t>
  </si>
  <si>
    <t>C296745</t>
  </si>
  <si>
    <t>I207465</t>
  </si>
  <si>
    <t>C138755</t>
  </si>
  <si>
    <t>I186896</t>
  </si>
  <si>
    <t>C325906</t>
  </si>
  <si>
    <t>I174966</t>
  </si>
  <si>
    <t>C336232</t>
  </si>
  <si>
    <t>I263818</t>
  </si>
  <si>
    <t>C309645</t>
  </si>
  <si>
    <t>I177201</t>
  </si>
  <si>
    <t>C252600</t>
  </si>
  <si>
    <t>I139308</t>
  </si>
  <si>
    <t>C194451</t>
  </si>
  <si>
    <t>I208631</t>
  </si>
  <si>
    <t>C242659</t>
  </si>
  <si>
    <t>I242823</t>
  </si>
  <si>
    <t>C274529</t>
  </si>
  <si>
    <t>I827069</t>
  </si>
  <si>
    <t>C150463</t>
  </si>
  <si>
    <t>I676291</t>
  </si>
  <si>
    <t>C172185</t>
  </si>
  <si>
    <t>I282789</t>
  </si>
  <si>
    <t>C666013</t>
  </si>
  <si>
    <t>I240751</t>
  </si>
  <si>
    <t>C321609</t>
  </si>
  <si>
    <t>I112481</t>
  </si>
  <si>
    <t>C263812</t>
  </si>
  <si>
    <t>I106271</t>
  </si>
  <si>
    <t>C318802</t>
  </si>
  <si>
    <t>I182889</t>
  </si>
  <si>
    <t>C221995</t>
  </si>
  <si>
    <t>I252084</t>
  </si>
  <si>
    <t>C301271</t>
  </si>
  <si>
    <t>I133278</t>
  </si>
  <si>
    <t>C212128</t>
  </si>
  <si>
    <t>I319942</t>
  </si>
  <si>
    <t>C321889</t>
  </si>
  <si>
    <t>I119809</t>
  </si>
  <si>
    <t>C169676</t>
  </si>
  <si>
    <t>I983860</t>
  </si>
  <si>
    <t>C126571</t>
  </si>
  <si>
    <t>I158683</t>
  </si>
  <si>
    <t>C103824</t>
  </si>
  <si>
    <t>I156413</t>
  </si>
  <si>
    <t>C109489</t>
  </si>
  <si>
    <t>I239703</t>
  </si>
  <si>
    <t>C321527</t>
  </si>
  <si>
    <t>I224565</t>
  </si>
  <si>
    <t>C270667</t>
  </si>
  <si>
    <t>I985808</t>
  </si>
  <si>
    <t>C258410</t>
  </si>
  <si>
    <t>I251855</t>
  </si>
  <si>
    <t>C233642</t>
  </si>
  <si>
    <t>I334389</t>
  </si>
  <si>
    <t>C184126</t>
  </si>
  <si>
    <t>I964173</t>
  </si>
  <si>
    <t>C851508</t>
  </si>
  <si>
    <t>I251743</t>
  </si>
  <si>
    <t>C709571</t>
  </si>
  <si>
    <t>I176115</t>
  </si>
  <si>
    <t>C165705</t>
  </si>
  <si>
    <t>I321920</t>
  </si>
  <si>
    <t>C635016</t>
  </si>
  <si>
    <t>I353329</t>
  </si>
  <si>
    <t>C225051</t>
  </si>
  <si>
    <t>I723062</t>
  </si>
  <si>
    <t>C155335</t>
  </si>
  <si>
    <t>I239285</t>
  </si>
  <si>
    <t>C375325</t>
  </si>
  <si>
    <t>I551237</t>
  </si>
  <si>
    <t>C809281</t>
  </si>
  <si>
    <t>I638275</t>
  </si>
  <si>
    <t>C555040</t>
  </si>
  <si>
    <t>I173679</t>
  </si>
  <si>
    <t>C340089</t>
  </si>
  <si>
    <t>I120948</t>
  </si>
  <si>
    <t>C288416</t>
  </si>
  <si>
    <t>I136666</t>
  </si>
  <si>
    <t>C866033</t>
  </si>
  <si>
    <t>I215578</t>
  </si>
  <si>
    <t>C252598</t>
  </si>
  <si>
    <t>I261290</t>
  </si>
  <si>
    <t>C204632</t>
  </si>
  <si>
    <t>I818298</t>
  </si>
  <si>
    <t>C243515</t>
  </si>
  <si>
    <t>I762381</t>
  </si>
  <si>
    <t>C230766</t>
  </si>
  <si>
    <t>I165461</t>
  </si>
  <si>
    <t>C250065</t>
  </si>
  <si>
    <t>I915945</t>
  </si>
  <si>
    <t>C647656</t>
  </si>
  <si>
    <t>I361028</t>
  </si>
  <si>
    <t>C252021</t>
  </si>
  <si>
    <t>I204147</t>
  </si>
  <si>
    <t>C826744</t>
  </si>
  <si>
    <t>I428118</t>
  </si>
  <si>
    <t>C281268</t>
  </si>
  <si>
    <t>I198698</t>
  </si>
  <si>
    <t>C290280</t>
  </si>
  <si>
    <t>I218385</t>
  </si>
  <si>
    <t>C622748</t>
  </si>
  <si>
    <t>I204056</t>
  </si>
  <si>
    <t>C195626</t>
  </si>
  <si>
    <t>I155076</t>
  </si>
  <si>
    <t>C372643</t>
  </si>
  <si>
    <t>I402983</t>
  </si>
  <si>
    <t>C898405</t>
  </si>
  <si>
    <t>I112291</t>
  </si>
  <si>
    <t>C101196</t>
  </si>
  <si>
    <t>I313426</t>
  </si>
  <si>
    <t>C771066</t>
  </si>
  <si>
    <t>I783231</t>
  </si>
  <si>
    <t>C616106</t>
  </si>
  <si>
    <t>I148276</t>
  </si>
  <si>
    <t>C168663</t>
  </si>
  <si>
    <t>I187171</t>
  </si>
  <si>
    <t>C448846</t>
  </si>
  <si>
    <t>I111305</t>
  </si>
  <si>
    <t>C726021</t>
  </si>
  <si>
    <t>I169015</t>
  </si>
  <si>
    <t>C206501</t>
  </si>
  <si>
    <t>I165687</t>
  </si>
  <si>
    <t>C199311</t>
  </si>
  <si>
    <t>I353272</t>
  </si>
  <si>
    <t>C581947</t>
  </si>
  <si>
    <t>I525798</t>
  </si>
  <si>
    <t>C284679</t>
  </si>
  <si>
    <t>I267713</t>
  </si>
  <si>
    <t>C545065</t>
  </si>
  <si>
    <t>I232338</t>
  </si>
  <si>
    <t>C662958</t>
  </si>
  <si>
    <t>I798213</t>
  </si>
  <si>
    <t>C557245</t>
  </si>
  <si>
    <t>I291540</t>
  </si>
  <si>
    <t>C316398</t>
  </si>
  <si>
    <t>I139520</t>
  </si>
  <si>
    <t>C183404</t>
  </si>
  <si>
    <t>I771414</t>
  </si>
  <si>
    <t>C298229</t>
  </si>
  <si>
    <t>I160585</t>
  </si>
  <si>
    <t>C256730</t>
  </si>
  <si>
    <t>I202398</t>
  </si>
  <si>
    <t>C665777</t>
  </si>
  <si>
    <t>I127733</t>
  </si>
  <si>
    <t>C240171</t>
  </si>
  <si>
    <t>I891311</t>
  </si>
  <si>
    <t>C848969</t>
  </si>
  <si>
    <t>I737630</t>
  </si>
  <si>
    <t>C171154</t>
  </si>
  <si>
    <t>I226172</t>
  </si>
  <si>
    <t>C671866</t>
  </si>
  <si>
    <t>I151764</t>
  </si>
  <si>
    <t>C238961</t>
  </si>
  <si>
    <t>I342816</t>
  </si>
  <si>
    <t>C307535</t>
  </si>
  <si>
    <t>I606511</t>
  </si>
  <si>
    <t>C993675</t>
  </si>
  <si>
    <t>I164675</t>
  </si>
  <si>
    <t>C287409</t>
  </si>
  <si>
    <t>I246151</t>
  </si>
  <si>
    <t>C558480</t>
  </si>
  <si>
    <t>I504141</t>
  </si>
  <si>
    <t>C163033</t>
  </si>
  <si>
    <t>I147727</t>
  </si>
  <si>
    <t>C192978</t>
  </si>
  <si>
    <t>I229355</t>
  </si>
  <si>
    <t>C250673</t>
  </si>
  <si>
    <t>I399563</t>
  </si>
  <si>
    <t>C322994</t>
  </si>
  <si>
    <t>I286193</t>
  </si>
  <si>
    <t>C250395</t>
  </si>
  <si>
    <t>I151099</t>
  </si>
  <si>
    <t>C181619</t>
  </si>
  <si>
    <t>I795251</t>
  </si>
  <si>
    <t>C204741</t>
  </si>
  <si>
    <t>I316629</t>
  </si>
  <si>
    <t>C266961</t>
  </si>
  <si>
    <t>I219555</t>
  </si>
  <si>
    <t>C526660</t>
  </si>
  <si>
    <t>I530401</t>
  </si>
  <si>
    <t>C131497</t>
  </si>
  <si>
    <t>I220863</t>
  </si>
  <si>
    <t>C320928</t>
  </si>
  <si>
    <t>I337719</t>
  </si>
  <si>
    <t>C172966</t>
  </si>
  <si>
    <t>I255381</t>
  </si>
  <si>
    <t>C166191</t>
  </si>
  <si>
    <t>I295784</t>
  </si>
  <si>
    <t>C161285</t>
  </si>
  <si>
    <t>I156233</t>
  </si>
  <si>
    <t>C168348</t>
  </si>
  <si>
    <t>I149521</t>
  </si>
  <si>
    <t>C257990</t>
  </si>
  <si>
    <t>I131054</t>
  </si>
  <si>
    <t>C513561</t>
  </si>
  <si>
    <t>I409288</t>
  </si>
  <si>
    <t>C221934</t>
  </si>
  <si>
    <t>I310819</t>
  </si>
  <si>
    <t>C584141</t>
  </si>
  <si>
    <t>I198233</t>
  </si>
  <si>
    <t>C311034</t>
  </si>
  <si>
    <t>I334246</t>
  </si>
  <si>
    <t>C220281</t>
  </si>
  <si>
    <t>I258322</t>
  </si>
  <si>
    <t>C139568</t>
  </si>
  <si>
    <t>I318831</t>
  </si>
  <si>
    <t>C244780</t>
  </si>
  <si>
    <t>I112270</t>
  </si>
  <si>
    <t>C329633</t>
  </si>
  <si>
    <t>I248153</t>
  </si>
  <si>
    <t>C292356</t>
  </si>
  <si>
    <t>I417106</t>
  </si>
  <si>
    <t>C271029</t>
  </si>
  <si>
    <t>I328321</t>
  </si>
  <si>
    <t>C617189</t>
  </si>
  <si>
    <t>I165202</t>
  </si>
  <si>
    <t>C270129</t>
  </si>
  <si>
    <t>I179048</t>
  </si>
  <si>
    <t>C911768</t>
  </si>
  <si>
    <t>I244241</t>
  </si>
  <si>
    <t>C375422</t>
  </si>
  <si>
    <t>I402966</t>
  </si>
  <si>
    <t>C162371</t>
  </si>
  <si>
    <t>I278401</t>
  </si>
  <si>
    <t>C244291</t>
  </si>
  <si>
    <t>I143353</t>
  </si>
  <si>
    <t>C102685</t>
  </si>
  <si>
    <t>I624164</t>
  </si>
  <si>
    <t>C244213</t>
  </si>
  <si>
    <t>I170160</t>
  </si>
  <si>
    <t>C208108</t>
  </si>
  <si>
    <t>I260028</t>
  </si>
  <si>
    <t>C259342</t>
  </si>
  <si>
    <t>I257890</t>
  </si>
  <si>
    <t>C693789</t>
  </si>
  <si>
    <t>I601026</t>
  </si>
  <si>
    <t>C599109</t>
  </si>
  <si>
    <t>I416544</t>
  </si>
  <si>
    <t>C160005</t>
  </si>
  <si>
    <t>I289905</t>
  </si>
  <si>
    <t>C175946</t>
  </si>
  <si>
    <t>I184307</t>
  </si>
  <si>
    <t>C111766</t>
  </si>
  <si>
    <t>I164597</t>
  </si>
  <si>
    <t>C978718</t>
  </si>
  <si>
    <t>I222086</t>
  </si>
  <si>
    <t>C303493</t>
  </si>
  <si>
    <t>I167993</t>
  </si>
  <si>
    <t>C876528</t>
  </si>
  <si>
    <t>I176469</t>
  </si>
  <si>
    <t>C556552</t>
  </si>
  <si>
    <t>I311052</t>
  </si>
  <si>
    <t>C847171</t>
  </si>
  <si>
    <t>I134126</t>
  </si>
  <si>
    <t>C269623</t>
  </si>
  <si>
    <t>I288152</t>
  </si>
  <si>
    <t>C194380</t>
  </si>
  <si>
    <t>I285454</t>
  </si>
  <si>
    <t>C131786</t>
  </si>
  <si>
    <t>I323788</t>
  </si>
  <si>
    <t>C340063</t>
  </si>
  <si>
    <t>I147203</t>
  </si>
  <si>
    <t>C102926</t>
  </si>
  <si>
    <t>I289973</t>
  </si>
  <si>
    <t>C143442</t>
  </si>
  <si>
    <t>I141241</t>
  </si>
  <si>
    <t>C215384</t>
  </si>
  <si>
    <t>I259196</t>
  </si>
  <si>
    <t>C434171</t>
  </si>
  <si>
    <t>I307534</t>
  </si>
  <si>
    <t>C816586</t>
  </si>
  <si>
    <t>I168037</t>
  </si>
  <si>
    <t>C340116</t>
  </si>
  <si>
    <t>I201704</t>
  </si>
  <si>
    <t>C289933</t>
  </si>
  <si>
    <t>I206422</t>
  </si>
  <si>
    <t>C223010</t>
  </si>
  <si>
    <t>I259878</t>
  </si>
  <si>
    <t>C178734</t>
  </si>
  <si>
    <t>I103596</t>
  </si>
  <si>
    <t>C236365</t>
  </si>
  <si>
    <t>I246375</t>
  </si>
  <si>
    <t>C309082</t>
  </si>
  <si>
    <t>I216061</t>
  </si>
  <si>
    <t>C223343</t>
  </si>
  <si>
    <t>I215279</t>
  </si>
  <si>
    <t>C143343</t>
  </si>
  <si>
    <t>I362306</t>
  </si>
  <si>
    <t>C192446</t>
  </si>
  <si>
    <t>I247471</t>
  </si>
  <si>
    <t>C123581</t>
  </si>
  <si>
    <t>I236914</t>
  </si>
  <si>
    <t>C989693</t>
  </si>
  <si>
    <t>I122655</t>
  </si>
  <si>
    <t>C651699</t>
  </si>
  <si>
    <t>I657069</t>
  </si>
  <si>
    <t>C310642</t>
  </si>
  <si>
    <t>I151588</t>
  </si>
  <si>
    <t>C134370</t>
  </si>
  <si>
    <t>I300972</t>
  </si>
  <si>
    <t>C663463</t>
  </si>
  <si>
    <t>I762439</t>
  </si>
  <si>
    <t>C263874</t>
  </si>
  <si>
    <t>I304531</t>
  </si>
  <si>
    <t>C200826</t>
  </si>
  <si>
    <t>I157056</t>
  </si>
  <si>
    <t>C249877</t>
  </si>
  <si>
    <t>I745394</t>
  </si>
  <si>
    <t>C846730</t>
  </si>
  <si>
    <t>I129886</t>
  </si>
  <si>
    <t>C150594</t>
  </si>
  <si>
    <t>I106691</t>
  </si>
  <si>
    <t>C319231</t>
  </si>
  <si>
    <t>I160221</t>
  </si>
  <si>
    <t>C658980</t>
  </si>
  <si>
    <t>I219780</t>
  </si>
  <si>
    <t>C125624</t>
  </si>
  <si>
    <t>I202171</t>
  </si>
  <si>
    <t>C519513</t>
  </si>
  <si>
    <t>I774221</t>
  </si>
  <si>
    <t>C891545</t>
  </si>
  <si>
    <t>I273890</t>
  </si>
  <si>
    <t>C765620</t>
  </si>
  <si>
    <t>I276763</t>
  </si>
  <si>
    <t>C271799</t>
  </si>
  <si>
    <t>I133387</t>
  </si>
  <si>
    <t>C255058</t>
  </si>
  <si>
    <t>I164665</t>
  </si>
  <si>
    <t>C132002</t>
  </si>
  <si>
    <t>I222983</t>
  </si>
  <si>
    <t>C997380</t>
  </si>
  <si>
    <t>I142331</t>
  </si>
  <si>
    <t>C199864</t>
  </si>
  <si>
    <t>I740676</t>
  </si>
  <si>
    <t>C274870</t>
  </si>
  <si>
    <t>I320846</t>
  </si>
  <si>
    <t>C112750</t>
  </si>
  <si>
    <t>I134452</t>
  </si>
  <si>
    <t>C885344</t>
  </si>
  <si>
    <t>I278121</t>
  </si>
  <si>
    <t>C306395</t>
  </si>
  <si>
    <t>I147334</t>
  </si>
  <si>
    <t>C326893</t>
  </si>
  <si>
    <t>I317140</t>
  </si>
  <si>
    <t>C331761</t>
  </si>
  <si>
    <t>I157775</t>
  </si>
  <si>
    <t>C820515</t>
  </si>
  <si>
    <t>I299820</t>
  </si>
  <si>
    <t>C282643</t>
  </si>
  <si>
    <t>I109649</t>
  </si>
  <si>
    <t>C276043</t>
  </si>
  <si>
    <t>I149688</t>
  </si>
  <si>
    <t>C166635</t>
  </si>
  <si>
    <t>I293215</t>
  </si>
  <si>
    <t>C907582</t>
  </si>
  <si>
    <t>I338966</t>
  </si>
  <si>
    <t>C279370</t>
  </si>
  <si>
    <t>I215998</t>
  </si>
  <si>
    <t>C204174</t>
  </si>
  <si>
    <t>I224371</t>
  </si>
  <si>
    <t>C111832</t>
  </si>
  <si>
    <t>I796162</t>
  </si>
  <si>
    <t>C152549</t>
  </si>
  <si>
    <t>I256691</t>
  </si>
  <si>
    <t>C307921</t>
  </si>
  <si>
    <t>I200392</t>
  </si>
  <si>
    <t>C324683</t>
  </si>
  <si>
    <t>I985478</t>
  </si>
  <si>
    <t>C242748</t>
  </si>
  <si>
    <t>I193271</t>
  </si>
  <si>
    <t>C189493</t>
  </si>
  <si>
    <t>I283443</t>
  </si>
  <si>
    <t>C181972</t>
  </si>
  <si>
    <t>I869144</t>
  </si>
  <si>
    <t>C282974</t>
  </si>
  <si>
    <t>I282854</t>
  </si>
  <si>
    <t>C567813</t>
  </si>
  <si>
    <t>I153930</t>
  </si>
  <si>
    <t>C183011</t>
  </si>
  <si>
    <t>I297270</t>
  </si>
  <si>
    <t>C277842</t>
  </si>
  <si>
    <t>I172458</t>
  </si>
  <si>
    <t>C807389</t>
  </si>
  <si>
    <t>I154469</t>
  </si>
  <si>
    <t>C830576</t>
  </si>
  <si>
    <t>I215721</t>
  </si>
  <si>
    <t>C177975</t>
  </si>
  <si>
    <t>I317105</t>
  </si>
  <si>
    <t>C157070</t>
  </si>
  <si>
    <t>I722319</t>
  </si>
  <si>
    <t>C584700</t>
  </si>
  <si>
    <t>I289643</t>
  </si>
  <si>
    <t>C992677</t>
  </si>
  <si>
    <t>I195567</t>
  </si>
  <si>
    <t>C253905</t>
  </si>
  <si>
    <t>I108359</t>
  </si>
  <si>
    <t>C309438</t>
  </si>
  <si>
    <t>I253242</t>
  </si>
  <si>
    <t>C218383</t>
  </si>
  <si>
    <t>I140663</t>
  </si>
  <si>
    <t>C552345</t>
  </si>
  <si>
    <t>I227716</t>
  </si>
  <si>
    <t>C158160</t>
  </si>
  <si>
    <t>I249424</t>
  </si>
  <si>
    <t>C169650</t>
  </si>
  <si>
    <t>I340014</t>
  </si>
  <si>
    <t>C168491</t>
  </si>
  <si>
    <t>I151332</t>
  </si>
  <si>
    <t>C542025</t>
  </si>
  <si>
    <t>I321683</t>
  </si>
  <si>
    <t>C679476</t>
  </si>
  <si>
    <t>I306076</t>
  </si>
  <si>
    <t>C111611</t>
  </si>
  <si>
    <t>I309552</t>
  </si>
  <si>
    <t>C606418</t>
  </si>
  <si>
    <t>I190444</t>
  </si>
  <si>
    <t>C135790</t>
  </si>
  <si>
    <t>I115870</t>
  </si>
  <si>
    <t>C199947</t>
  </si>
  <si>
    <t>I739573</t>
  </si>
  <si>
    <t>C169749</t>
  </si>
  <si>
    <t>I870944</t>
  </si>
  <si>
    <t>C258404</t>
  </si>
  <si>
    <t>I260525</t>
  </si>
  <si>
    <t>C136117</t>
  </si>
  <si>
    <t>I276526</t>
  </si>
  <si>
    <t>C109871</t>
  </si>
  <si>
    <t>I292239</t>
  </si>
  <si>
    <t>C493252</t>
  </si>
  <si>
    <t>I251356</t>
  </si>
  <si>
    <t>C309926</t>
  </si>
  <si>
    <t>I402376</t>
  </si>
  <si>
    <t>C236859</t>
  </si>
  <si>
    <t>I883721</t>
  </si>
  <si>
    <t>C126956</t>
  </si>
  <si>
    <t>I115146</t>
  </si>
  <si>
    <t>C173084</t>
  </si>
  <si>
    <t>I204979</t>
  </si>
  <si>
    <t>C187266</t>
  </si>
  <si>
    <t>I221715</t>
  </si>
  <si>
    <t>C119549</t>
  </si>
  <si>
    <t>I181109</t>
  </si>
  <si>
    <t>C224743</t>
  </si>
  <si>
    <t>I218590</t>
  </si>
  <si>
    <t>C123427</t>
  </si>
  <si>
    <t>I157285</t>
  </si>
  <si>
    <t>C439382</t>
  </si>
  <si>
    <t>I209289</t>
  </si>
  <si>
    <t>C716161</t>
  </si>
  <si>
    <t>I207205</t>
  </si>
  <si>
    <t>C336576</t>
  </si>
  <si>
    <t>I133061</t>
  </si>
  <si>
    <t>C158837</t>
  </si>
  <si>
    <t>I335713</t>
  </si>
  <si>
    <t>C112279</t>
  </si>
  <si>
    <t>I263803</t>
  </si>
  <si>
    <t>C962515</t>
  </si>
  <si>
    <t>I300213</t>
  </si>
  <si>
    <t>C213742</t>
  </si>
  <si>
    <t>I258195</t>
  </si>
  <si>
    <t>C841663</t>
  </si>
  <si>
    <t>I148377</t>
  </si>
  <si>
    <t>C133687</t>
  </si>
  <si>
    <t>I137794</t>
  </si>
  <si>
    <t>C626042</t>
  </si>
  <si>
    <t>I160777</t>
  </si>
  <si>
    <t>C237330</t>
  </si>
  <si>
    <t>I664787</t>
  </si>
  <si>
    <t>C317478</t>
  </si>
  <si>
    <t>I202367</t>
  </si>
  <si>
    <t>C227070</t>
  </si>
  <si>
    <t>I246562</t>
  </si>
  <si>
    <t>C653385</t>
  </si>
  <si>
    <t>I304265</t>
  </si>
  <si>
    <t>C126436</t>
  </si>
  <si>
    <t>I269690</t>
  </si>
  <si>
    <t>C241642</t>
  </si>
  <si>
    <t>I205366</t>
  </si>
  <si>
    <t>C317818</t>
  </si>
  <si>
    <t>I267193</t>
  </si>
  <si>
    <t>C134449</t>
  </si>
  <si>
    <t>I117291</t>
  </si>
  <si>
    <t>C120164</t>
  </si>
  <si>
    <t>I296025</t>
  </si>
  <si>
    <t>C607615</t>
  </si>
  <si>
    <t>I826174</t>
  </si>
  <si>
    <t>C306662</t>
  </si>
  <si>
    <t>I752693</t>
  </si>
  <si>
    <t>C155059</t>
  </si>
  <si>
    <t>I138674</t>
  </si>
  <si>
    <t>C716788</t>
  </si>
  <si>
    <t>I246550</t>
  </si>
  <si>
    <t>C452806</t>
  </si>
  <si>
    <t>I473411</t>
  </si>
  <si>
    <t>C204279</t>
  </si>
  <si>
    <t>I106674</t>
  </si>
  <si>
    <t>C450287</t>
  </si>
  <si>
    <t>I187519</t>
  </si>
  <si>
    <t>C245456</t>
  </si>
  <si>
    <t>I147062</t>
  </si>
  <si>
    <t>C276887</t>
  </si>
  <si>
    <t>I339732</t>
  </si>
  <si>
    <t>C164092</t>
  </si>
  <si>
    <t>I167211</t>
  </si>
  <si>
    <t>C232624</t>
  </si>
  <si>
    <t>I109053</t>
  </si>
  <si>
    <t>C176727</t>
  </si>
  <si>
    <t>I768348</t>
  </si>
  <si>
    <t>C501658</t>
  </si>
  <si>
    <t>I331891</t>
  </si>
  <si>
    <t>C159164</t>
  </si>
  <si>
    <t>I161949</t>
  </si>
  <si>
    <t>C251229</t>
  </si>
  <si>
    <t>I209744</t>
  </si>
  <si>
    <t>C447138</t>
  </si>
  <si>
    <t>I655874</t>
  </si>
  <si>
    <t>C192344</t>
  </si>
  <si>
    <t>I217053</t>
  </si>
  <si>
    <t>C289625</t>
  </si>
  <si>
    <t>I196704</t>
  </si>
  <si>
    <t>C285161</t>
  </si>
  <si>
    <t>I195396</t>
  </si>
  <si>
    <t>C204553</t>
  </si>
  <si>
    <t>I174250</t>
  </si>
  <si>
    <t>C313348</t>
  </si>
  <si>
    <t>I252275</t>
  </si>
  <si>
    <t>C322947</t>
  </si>
  <si>
    <t>I823067</t>
  </si>
  <si>
    <t>C125696</t>
  </si>
  <si>
    <t>I412481</t>
  </si>
  <si>
    <t>C220180</t>
  </si>
  <si>
    <t>I183746</t>
  </si>
  <si>
    <t>C196845</t>
  </si>
  <si>
    <t>I992454</t>
  </si>
  <si>
    <t>C218149</t>
  </si>
  <si>
    <t>I993048</t>
  </si>
  <si>
    <t>C330667</t>
  </si>
  <si>
    <t>I195744</t>
  </si>
  <si>
    <t>C300786</t>
  </si>
  <si>
    <t>I294687</t>
  </si>
  <si>
    <t>C362288</t>
  </si>
  <si>
    <t>I688768</t>
  </si>
  <si>
    <t>C555402</t>
  </si>
  <si>
    <t>I336189</t>
  </si>
  <si>
    <t>C312861</t>
  </si>
  <si>
    <t>I179802</t>
  </si>
  <si>
    <t>C225330</t>
  </si>
  <si>
    <t>I640508</t>
  </si>
  <si>
    <t>C191708</t>
  </si>
  <si>
    <t>I139207</t>
  </si>
  <si>
    <t>C240286</t>
  </si>
  <si>
    <t>I306368</t>
  </si>
  <si>
    <t>C283361</t>
  </si>
  <si>
    <t>I326945</t>
  </si>
  <si>
    <t>C159642</t>
  </si>
  <si>
    <t>I293455</t>
  </si>
  <si>
    <t>C176086</t>
  </si>
  <si>
    <t>I293112</t>
  </si>
  <si>
    <t>C151197</t>
  </si>
  <si>
    <t>I121056</t>
  </si>
  <si>
    <t>C657758</t>
  </si>
  <si>
    <t>I227836</t>
  </si>
  <si>
    <t>C189076</t>
  </si>
  <si>
    <t>I337046</t>
  </si>
  <si>
    <t>C988172</t>
  </si>
  <si>
    <t>I173702</t>
  </si>
  <si>
    <t>C266599</t>
  </si>
  <si>
    <t>I127801</t>
  </si>
  <si>
    <t>C111565</t>
  </si>
  <si>
    <t>I317333</t>
  </si>
  <si>
    <t>C241288</t>
  </si>
  <si>
    <t>I138884</t>
  </si>
  <si>
    <t>Order_Size</t>
  </si>
  <si>
    <t>Customer_type</t>
  </si>
  <si>
    <t>Year</t>
  </si>
  <si>
    <t>Month_No</t>
  </si>
  <si>
    <t>month</t>
  </si>
  <si>
    <t>Quantity_group</t>
  </si>
  <si>
    <t>spend_segment</t>
  </si>
  <si>
    <t>Age_Group</t>
  </si>
  <si>
    <t>Sales_amount</t>
  </si>
  <si>
    <t>shopping_mall</t>
  </si>
  <si>
    <t>invoice_date</t>
  </si>
  <si>
    <t>payment_method</t>
  </si>
  <si>
    <t>price</t>
  </si>
  <si>
    <t>quantity</t>
  </si>
  <si>
    <t>category</t>
  </si>
  <si>
    <t>age</t>
  </si>
  <si>
    <t>gender</t>
  </si>
  <si>
    <t>customer_id</t>
  </si>
  <si>
    <t>invoice_no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</si>
</sst>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0911C9-27DC-4379-8B10-989D003FE9A0}" name="Table13" displayName="Table13" ref="A1:S500" totalsRowShown="0">
  <autoFilter ref="A1:S500" xr:uid="{D0B25A49-E229-46E5-85F8-6D5228F3D6DE}"/>
  <tableColumns count="19">
    <tableColumn id="1" xr3:uid="{D4139684-40F3-4967-B494-C666D72097E7}" name="invoice_no"/>
    <tableColumn id="2" xr3:uid="{8913A088-A394-4C2B-9E69-5FDF64D36ED8}" name="customer_id"/>
    <tableColumn id="3" xr3:uid="{2F6C513D-A61A-4628-BDE2-729A0871957D}" name="gender"/>
    <tableColumn id="4" xr3:uid="{8CF0EADD-4D14-41B9-A55D-87EB778051EE}" name="age"/>
    <tableColumn id="5" xr3:uid="{6C20B707-846E-40F7-B6D0-E1B2646CDD31}" name="category"/>
    <tableColumn id="6" xr3:uid="{58784A96-EC51-428B-A606-8EDC9A71E8FB}" name="quantity"/>
    <tableColumn id="7" xr3:uid="{ED7FCF14-D004-4F30-A7C6-F5EF5AEEEF0C}" name="price"/>
    <tableColumn id="8" xr3:uid="{B16D1B4A-C1A8-43ED-A9EE-83087F3547B1}" name="payment_method"/>
    <tableColumn id="9" xr3:uid="{287561C2-35DD-4B4A-B1EE-ABC85AF0BEFA}" name="invoice_date" dataDxfId="9"/>
    <tableColumn id="10" xr3:uid="{BB6C4C6E-3A91-4C9D-B13F-4C7F27791A22}" name="shopping_mall"/>
    <tableColumn id="11" xr3:uid="{09098E0A-1378-4604-98DB-F12F1AFE24EF}" name="Sales_amount" dataDxfId="8">
      <calculatedColumnFormula>F2*G2</calculatedColumnFormula>
    </tableColumn>
    <tableColumn id="12" xr3:uid="{29D82A91-2C12-4E04-9CB9-1D17AF48EF85}" name="Age_Group" dataDxfId="7">
      <calculatedColumnFormula>_xlfn.IFS(D2&lt;20,"Below 20",D2&lt;=30,"20-30",D2&lt;=40,"31-40",D2&lt;=50,"41-50",D2&lt;=60,"51-60",TRUE,"60+")</calculatedColumnFormula>
    </tableColumn>
    <tableColumn id="13" xr3:uid="{50ECA963-D62E-41E4-978C-F5DC55700C8F}" name="spend_segment" dataDxfId="6">
      <calculatedColumnFormula>_xlfn.IFS(K2&lt;500,"Low Spend",K2&lt;=2000,"Medium Spend",K2&lt;=5000,"High Spend",TRUE,"Premium Spend")</calculatedColumnFormula>
    </tableColumn>
    <tableColumn id="14" xr3:uid="{39FF4148-822E-4CA7-B892-1BA9ECC8F962}" name="Quantity_group" dataDxfId="5">
      <calculatedColumnFormula>_xlfn.IFS(F2=1,"1 Item",F2&lt;=3,"2-3 Items",F2&lt;=5,"4-5 Items",TRUE,"6+ Items")</calculatedColumnFormula>
    </tableColumn>
    <tableColumn id="15" xr3:uid="{5E83BB3E-ED35-4AF2-8264-DA9C641AC3A9}" name="month" dataDxfId="4">
      <calculatedColumnFormula>TEXT(I2,"mmm")</calculatedColumnFormula>
    </tableColumn>
    <tableColumn id="16" xr3:uid="{0E022C10-DF94-435C-BF22-A2C7072B8F98}" name="Month_No" dataDxfId="3">
      <calculatedColumnFormula>MONTH(I2)</calculatedColumnFormula>
    </tableColumn>
    <tableColumn id="17" xr3:uid="{AECAAC55-1FE3-46A8-8D5C-6DEA616E7DB5}" name="Year" dataDxfId="2">
      <calculatedColumnFormula>YEAR(I2)</calculatedColumnFormula>
    </tableColumn>
    <tableColumn id="18" xr3:uid="{B88B26F9-59B6-41D4-B090-EA539E05E8EB}" name="Customer_type" dataDxfId="1">
      <calculatedColumnFormula>IF(K2&gt;=5000,"High Value","Regular")</calculatedColumnFormula>
    </tableColumn>
    <tableColumn id="19" xr3:uid="{062D03DB-928E-448C-BF25-6595A45501DA}" name="Order_Size" dataDxfId="0">
      <calculatedColumnFormula>IF(F2&gt;=4,"Bulk Order","Normal Order")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5683-2F1D-485A-BF77-CBB5D86C59F3}">
  <dimension ref="A1:S500"/>
  <sheetViews>
    <sheetView tabSelected="1" workbookViewId="0">
      <selection activeCell="J20" sqref="J20"/>
    </sheetView>
  </sheetViews>
  <sheetFormatPr defaultRowHeight="14.4" x14ac:dyDescent="0.3"/>
  <cols>
    <col min="9" max="9" width="14" bestFit="1" customWidth="1"/>
    <col min="10" max="10" width="16.33203125" bestFit="1" customWidth="1"/>
    <col min="11" max="11" width="15.109375" bestFit="1" customWidth="1"/>
    <col min="12" max="12" width="12.6640625" bestFit="1" customWidth="1"/>
    <col min="13" max="13" width="16.6640625" bestFit="1" customWidth="1"/>
    <col min="18" max="18" width="16.21875" bestFit="1" customWidth="1"/>
    <col min="19" max="19" width="12.21875" bestFit="1" customWidth="1"/>
  </cols>
  <sheetData>
    <row r="1" spans="1:19" x14ac:dyDescent="0.3">
      <c r="A1" t="s">
        <v>1039</v>
      </c>
      <c r="B1" t="s">
        <v>1038</v>
      </c>
      <c r="C1" t="s">
        <v>1037</v>
      </c>
      <c r="D1" t="s">
        <v>1036</v>
      </c>
      <c r="E1" t="s">
        <v>1035</v>
      </c>
      <c r="F1" t="s">
        <v>1034</v>
      </c>
      <c r="G1" t="s">
        <v>1033</v>
      </c>
      <c r="H1" t="s">
        <v>1032</v>
      </c>
      <c r="I1" t="s">
        <v>1031</v>
      </c>
      <c r="J1" t="s">
        <v>1030</v>
      </c>
      <c r="K1" t="s">
        <v>1029</v>
      </c>
      <c r="L1" t="s">
        <v>1028</v>
      </c>
      <c r="M1" t="s">
        <v>1027</v>
      </c>
      <c r="N1" t="s">
        <v>1026</v>
      </c>
      <c r="O1" t="s">
        <v>1025</v>
      </c>
      <c r="P1" t="s">
        <v>1024</v>
      </c>
      <c r="Q1" t="s">
        <v>1023</v>
      </c>
      <c r="R1" t="s">
        <v>1022</v>
      </c>
      <c r="S1" t="s">
        <v>1021</v>
      </c>
    </row>
    <row r="2" spans="1:19" x14ac:dyDescent="0.3">
      <c r="A2" t="s">
        <v>1020</v>
      </c>
      <c r="B2" t="s">
        <v>1019</v>
      </c>
      <c r="C2" t="s">
        <v>3</v>
      </c>
      <c r="D2">
        <v>28</v>
      </c>
      <c r="E2" t="s">
        <v>8</v>
      </c>
      <c r="F2">
        <v>5</v>
      </c>
      <c r="G2">
        <v>1500.4</v>
      </c>
      <c r="H2" t="s">
        <v>1</v>
      </c>
      <c r="I2" s="1">
        <v>44778</v>
      </c>
      <c r="J2" t="s">
        <v>28</v>
      </c>
      <c r="K2">
        <f>F2*G2</f>
        <v>7502</v>
      </c>
      <c r="L2" t="str">
        <f>_xlfn.IFS(D2&lt;20,"Below 20",D2&lt;=30,"20-30",D2&lt;=40,"31-40",D2&lt;=50,"41-50",D2&lt;=60,"51-60",TRUE,"60+")</f>
        <v>20-30</v>
      </c>
      <c r="M2" t="str">
        <f>_xlfn.IFS(K2&lt;500,"Low Spend",K2&lt;=2000,"Medium Spend",K2&lt;=5000,"High Spend",TRUE,"Premium Spend")</f>
        <v>Premium Spend</v>
      </c>
      <c r="N2" t="str">
        <f>_xlfn.IFS(F2=1,"1 Item",F2&lt;=3,"2-3 Items",F2&lt;=5,"4-5 Items",TRUE,"6+ Items")</f>
        <v>4-5 Items</v>
      </c>
      <c r="O2" t="str">
        <f>TEXT(I2,"mmm")</f>
        <v>Aug</v>
      </c>
      <c r="P2">
        <f>MONTH(I2)</f>
        <v>8</v>
      </c>
      <c r="Q2">
        <f>YEAR(I2)</f>
        <v>2022</v>
      </c>
      <c r="R2" t="str">
        <f>IF(K2&gt;=5000,"High Value","Regular")</f>
        <v>High Value</v>
      </c>
      <c r="S2" t="str">
        <f>IF(F2&gt;=4,"Bulk Order","Normal Order")</f>
        <v>Bulk Order</v>
      </c>
    </row>
    <row r="3" spans="1:19" x14ac:dyDescent="0.3">
      <c r="A3" t="s">
        <v>1018</v>
      </c>
      <c r="B3" t="s">
        <v>1017</v>
      </c>
      <c r="C3" t="s">
        <v>12</v>
      </c>
      <c r="D3">
        <v>21</v>
      </c>
      <c r="E3" t="s">
        <v>31</v>
      </c>
      <c r="F3">
        <v>3</v>
      </c>
      <c r="G3">
        <v>1800.51</v>
      </c>
      <c r="H3" t="s">
        <v>7</v>
      </c>
      <c r="I3" s="1">
        <v>44542</v>
      </c>
      <c r="J3" t="s">
        <v>97</v>
      </c>
      <c r="K3">
        <f>F3*G3</f>
        <v>5401.53</v>
      </c>
      <c r="L3" t="str">
        <f>_xlfn.IFS(D3&lt;20,"Below 20",D3&lt;=30,"20-30",D3&lt;=40,"31-40",D3&lt;=50,"41-50",D3&lt;=60,"51-60",TRUE,"60+")</f>
        <v>20-30</v>
      </c>
      <c r="M3" t="str">
        <f>_xlfn.IFS(K3&lt;500,"Low Spend",K3&lt;=2000,"Medium Spend",K3&lt;=5000,"High Spend",TRUE,"Premium Spend")</f>
        <v>Premium Spend</v>
      </c>
      <c r="N3" t="str">
        <f>_xlfn.IFS(F3=1,"1 Item",F3&lt;=3,"2-3 Items",F3&lt;=5,"4-5 Items",TRUE,"6+ Items")</f>
        <v>2-3 Items</v>
      </c>
      <c r="O3" t="str">
        <f>TEXT(I3,"mmm")</f>
        <v>Dec</v>
      </c>
      <c r="P3">
        <f>MONTH(I3)</f>
        <v>12</v>
      </c>
      <c r="Q3">
        <f>YEAR(I3)</f>
        <v>2021</v>
      </c>
      <c r="R3" t="str">
        <f>IF(K3&gt;=5000,"High Value","Regular")</f>
        <v>High Value</v>
      </c>
      <c r="S3" t="str">
        <f>IF(F3&gt;=4,"Bulk Order","Normal Order")</f>
        <v>Normal Order</v>
      </c>
    </row>
    <row r="4" spans="1:19" x14ac:dyDescent="0.3">
      <c r="A4" t="s">
        <v>1016</v>
      </c>
      <c r="B4" t="s">
        <v>1015</v>
      </c>
      <c r="C4" t="s">
        <v>12</v>
      </c>
      <c r="D4">
        <v>20</v>
      </c>
      <c r="E4" t="s">
        <v>8</v>
      </c>
      <c r="F4">
        <v>1</v>
      </c>
      <c r="G4">
        <v>300.08</v>
      </c>
      <c r="H4" t="s">
        <v>15</v>
      </c>
      <c r="I4" s="1">
        <v>44509</v>
      </c>
      <c r="J4" t="s">
        <v>11</v>
      </c>
      <c r="K4">
        <f>F4*G4</f>
        <v>300.08</v>
      </c>
      <c r="L4" t="str">
        <f>_xlfn.IFS(D4&lt;20,"Below 20",D4&lt;=30,"20-30",D4&lt;=40,"31-40",D4&lt;=50,"41-50",D4&lt;=60,"51-60",TRUE,"60+")</f>
        <v>20-30</v>
      </c>
      <c r="M4" t="str">
        <f>_xlfn.IFS(K4&lt;500,"Low Spend",K4&lt;=2000,"Medium Spend",K4&lt;=5000,"High Spend",TRUE,"Premium Spend")</f>
        <v>Low Spend</v>
      </c>
      <c r="N4" t="str">
        <f>_xlfn.IFS(F4=1,"1 Item",F4&lt;=3,"2-3 Items",F4&lt;=5,"4-5 Items",TRUE,"6+ Items")</f>
        <v>1 Item</v>
      </c>
      <c r="O4" t="str">
        <f>TEXT(I4,"mmm")</f>
        <v>Nov</v>
      </c>
      <c r="P4">
        <f>MONTH(I4)</f>
        <v>11</v>
      </c>
      <c r="Q4">
        <f>YEAR(I4)</f>
        <v>2021</v>
      </c>
      <c r="R4" t="str">
        <f>IF(K4&gt;=5000,"High Value","Regular")</f>
        <v>Regular</v>
      </c>
      <c r="S4" t="str">
        <f>IF(F4&gt;=4,"Bulk Order","Normal Order")</f>
        <v>Normal Order</v>
      </c>
    </row>
    <row r="5" spans="1:19" x14ac:dyDescent="0.3">
      <c r="A5" t="s">
        <v>1014</v>
      </c>
      <c r="B5" t="s">
        <v>1013</v>
      </c>
      <c r="C5" t="s">
        <v>3</v>
      </c>
      <c r="D5">
        <v>66</v>
      </c>
      <c r="E5" t="s">
        <v>31</v>
      </c>
      <c r="F5">
        <v>5</v>
      </c>
      <c r="G5">
        <v>3000.85</v>
      </c>
      <c r="H5" t="s">
        <v>1</v>
      </c>
      <c r="I5" s="1">
        <v>44332</v>
      </c>
      <c r="J5" t="s">
        <v>68</v>
      </c>
      <c r="K5">
        <f>F5*G5</f>
        <v>15004.25</v>
      </c>
      <c r="L5" t="str">
        <f>_xlfn.IFS(D5&lt;20,"Below 20",D5&lt;=30,"20-30",D5&lt;=40,"31-40",D5&lt;=50,"41-50",D5&lt;=60,"51-60",TRUE,"60+")</f>
        <v>60+</v>
      </c>
      <c r="M5" t="str">
        <f>_xlfn.IFS(K5&lt;500,"Low Spend",K5&lt;=2000,"Medium Spend",K5&lt;=5000,"High Spend",TRUE,"Premium Spend")</f>
        <v>Premium Spend</v>
      </c>
      <c r="N5" t="str">
        <f>_xlfn.IFS(F5=1,"1 Item",F5&lt;=3,"2-3 Items",F5&lt;=5,"4-5 Items",TRUE,"6+ Items")</f>
        <v>4-5 Items</v>
      </c>
      <c r="O5" t="str">
        <f>TEXT(I5,"mmm")</f>
        <v>May</v>
      </c>
      <c r="P5">
        <f>MONTH(I5)</f>
        <v>5</v>
      </c>
      <c r="Q5">
        <f>YEAR(I5)</f>
        <v>2021</v>
      </c>
      <c r="R5" t="str">
        <f>IF(K5&gt;=5000,"High Value","Regular")</f>
        <v>High Value</v>
      </c>
      <c r="S5" t="str">
        <f>IF(F5&gt;=4,"Bulk Order","Normal Order")</f>
        <v>Bulk Order</v>
      </c>
    </row>
    <row r="6" spans="1:19" x14ac:dyDescent="0.3">
      <c r="A6" t="s">
        <v>1012</v>
      </c>
      <c r="B6" t="s">
        <v>1011</v>
      </c>
      <c r="C6" t="s">
        <v>3</v>
      </c>
      <c r="D6">
        <v>53</v>
      </c>
      <c r="E6" t="s">
        <v>61</v>
      </c>
      <c r="F6">
        <v>4</v>
      </c>
      <c r="G6">
        <v>60.6</v>
      </c>
      <c r="H6" t="s">
        <v>15</v>
      </c>
      <c r="I6" s="1">
        <v>44493</v>
      </c>
      <c r="J6" t="s">
        <v>28</v>
      </c>
      <c r="K6">
        <f>F6*G6</f>
        <v>242.4</v>
      </c>
      <c r="L6" t="str">
        <f>_xlfn.IFS(D6&lt;20,"Below 20",D6&lt;=30,"20-30",D6&lt;=40,"31-40",D6&lt;=50,"41-50",D6&lt;=60,"51-60",TRUE,"60+")</f>
        <v>51-60</v>
      </c>
      <c r="M6" t="str">
        <f>_xlfn.IFS(K6&lt;500,"Low Spend",K6&lt;=2000,"Medium Spend",K6&lt;=5000,"High Spend",TRUE,"Premium Spend")</f>
        <v>Low Spend</v>
      </c>
      <c r="N6" t="str">
        <f>_xlfn.IFS(F6=1,"1 Item",F6&lt;=3,"2-3 Items",F6&lt;=5,"4-5 Items",TRUE,"6+ Items")</f>
        <v>4-5 Items</v>
      </c>
      <c r="O6" t="str">
        <f>TEXT(I6,"mmm")</f>
        <v>Oct</v>
      </c>
      <c r="P6">
        <f>MONTH(I6)</f>
        <v>10</v>
      </c>
      <c r="Q6">
        <f>YEAR(I6)</f>
        <v>2021</v>
      </c>
      <c r="R6" t="str">
        <f>IF(K6&gt;=5000,"High Value","Regular")</f>
        <v>Regular</v>
      </c>
      <c r="S6" t="str">
        <f>IF(F6&gt;=4,"Bulk Order","Normal Order")</f>
        <v>Bulk Order</v>
      </c>
    </row>
    <row r="7" spans="1:19" x14ac:dyDescent="0.3">
      <c r="A7" t="s">
        <v>1010</v>
      </c>
      <c r="B7" t="s">
        <v>1009</v>
      </c>
      <c r="C7" t="s">
        <v>3</v>
      </c>
      <c r="D7">
        <v>28</v>
      </c>
      <c r="E7" t="s">
        <v>8</v>
      </c>
      <c r="F7">
        <v>5</v>
      </c>
      <c r="G7">
        <v>1500.4</v>
      </c>
      <c r="H7" t="s">
        <v>1</v>
      </c>
      <c r="I7" s="1">
        <v>44705</v>
      </c>
      <c r="J7" t="s">
        <v>97</v>
      </c>
      <c r="K7">
        <f>F7*G7</f>
        <v>7502</v>
      </c>
      <c r="L7" t="str">
        <f>_xlfn.IFS(D7&lt;20,"Below 20",D7&lt;=30,"20-30",D7&lt;=40,"31-40",D7&lt;=50,"41-50",D7&lt;=60,"51-60",TRUE,"60+")</f>
        <v>20-30</v>
      </c>
      <c r="M7" t="str">
        <f>_xlfn.IFS(K7&lt;500,"Low Spend",K7&lt;=2000,"Medium Spend",K7&lt;=5000,"High Spend",TRUE,"Premium Spend")</f>
        <v>Premium Spend</v>
      </c>
      <c r="N7" t="str">
        <f>_xlfn.IFS(F7=1,"1 Item",F7&lt;=3,"2-3 Items",F7&lt;=5,"4-5 Items",TRUE,"6+ Items")</f>
        <v>4-5 Items</v>
      </c>
      <c r="O7" t="str">
        <f>TEXT(I7,"mmm")</f>
        <v>May</v>
      </c>
      <c r="P7">
        <f>MONTH(I7)</f>
        <v>5</v>
      </c>
      <c r="Q7">
        <f>YEAR(I7)</f>
        <v>2022</v>
      </c>
      <c r="R7" t="str">
        <f>IF(K7&gt;=5000,"High Value","Regular")</f>
        <v>High Value</v>
      </c>
      <c r="S7" t="str">
        <f>IF(F7&gt;=4,"Bulk Order","Normal Order")</f>
        <v>Bulk Order</v>
      </c>
    </row>
    <row r="8" spans="1:19" x14ac:dyDescent="0.3">
      <c r="A8" t="s">
        <v>1008</v>
      </c>
      <c r="B8" t="s">
        <v>1007</v>
      </c>
      <c r="C8" t="s">
        <v>3</v>
      </c>
      <c r="D8">
        <v>49</v>
      </c>
      <c r="E8" t="s">
        <v>19</v>
      </c>
      <c r="F8">
        <v>1</v>
      </c>
      <c r="G8">
        <v>40.659999999999997</v>
      </c>
      <c r="H8" t="s">
        <v>15</v>
      </c>
      <c r="I8" s="1">
        <v>44633</v>
      </c>
      <c r="J8" t="s">
        <v>0</v>
      </c>
      <c r="K8">
        <f>F8*G8</f>
        <v>40.659999999999997</v>
      </c>
      <c r="L8" t="str">
        <f>_xlfn.IFS(D8&lt;20,"Below 20",D8&lt;=30,"20-30",D8&lt;=40,"31-40",D8&lt;=50,"41-50",D8&lt;=60,"51-60",TRUE,"60+")</f>
        <v>41-50</v>
      </c>
      <c r="M8" t="str">
        <f>_xlfn.IFS(K8&lt;500,"Low Spend",K8&lt;=2000,"Medium Spend",K8&lt;=5000,"High Spend",TRUE,"Premium Spend")</f>
        <v>Low Spend</v>
      </c>
      <c r="N8" t="str">
        <f>_xlfn.IFS(F8=1,"1 Item",F8&lt;=3,"2-3 Items",F8&lt;=5,"4-5 Items",TRUE,"6+ Items")</f>
        <v>1 Item</v>
      </c>
      <c r="O8" t="str">
        <f>TEXT(I8,"mmm")</f>
        <v>Mar</v>
      </c>
      <c r="P8">
        <f>MONTH(I8)</f>
        <v>3</v>
      </c>
      <c r="Q8">
        <f>YEAR(I8)</f>
        <v>2022</v>
      </c>
      <c r="R8" t="str">
        <f>IF(K8&gt;=5000,"High Value","Regular")</f>
        <v>Regular</v>
      </c>
      <c r="S8" t="str">
        <f>IF(F8&gt;=4,"Bulk Order","Normal Order")</f>
        <v>Normal Order</v>
      </c>
    </row>
    <row r="9" spans="1:19" x14ac:dyDescent="0.3">
      <c r="A9" t="s">
        <v>1006</v>
      </c>
      <c r="B9" t="s">
        <v>1005</v>
      </c>
      <c r="C9" t="s">
        <v>3</v>
      </c>
      <c r="D9">
        <v>32</v>
      </c>
      <c r="E9" t="s">
        <v>8</v>
      </c>
      <c r="F9">
        <v>2</v>
      </c>
      <c r="G9">
        <v>600.16</v>
      </c>
      <c r="H9" t="s">
        <v>1</v>
      </c>
      <c r="I9" s="1">
        <v>44209</v>
      </c>
      <c r="J9" t="s">
        <v>22</v>
      </c>
      <c r="K9">
        <f>F9*G9</f>
        <v>1200.32</v>
      </c>
      <c r="L9" t="str">
        <f>_xlfn.IFS(D9&lt;20,"Below 20",D9&lt;=30,"20-30",D9&lt;=40,"31-40",D9&lt;=50,"41-50",D9&lt;=60,"51-60",TRUE,"60+")</f>
        <v>31-40</v>
      </c>
      <c r="M9" t="str">
        <f>_xlfn.IFS(K9&lt;500,"Low Spend",K9&lt;=2000,"Medium Spend",K9&lt;=5000,"High Spend",TRUE,"Premium Spend")</f>
        <v>Medium Spend</v>
      </c>
      <c r="N9" t="str">
        <f>_xlfn.IFS(F9=1,"1 Item",F9&lt;=3,"2-3 Items",F9&lt;=5,"4-5 Items",TRUE,"6+ Items")</f>
        <v>2-3 Items</v>
      </c>
      <c r="O9" t="str">
        <f>TEXT(I9,"mmm")</f>
        <v>Jan</v>
      </c>
      <c r="P9">
        <f>MONTH(I9)</f>
        <v>1</v>
      </c>
      <c r="Q9">
        <f>YEAR(I9)</f>
        <v>2021</v>
      </c>
      <c r="R9" t="str">
        <f>IF(K9&gt;=5000,"High Value","Regular")</f>
        <v>Regular</v>
      </c>
      <c r="S9" t="str">
        <f>IF(F9&gt;=4,"Bulk Order","Normal Order")</f>
        <v>Normal Order</v>
      </c>
    </row>
    <row r="10" spans="1:19" x14ac:dyDescent="0.3">
      <c r="A10" t="s">
        <v>1004</v>
      </c>
      <c r="B10" t="s">
        <v>1003</v>
      </c>
      <c r="C10" t="s">
        <v>12</v>
      </c>
      <c r="D10">
        <v>69</v>
      </c>
      <c r="E10" t="s">
        <v>8</v>
      </c>
      <c r="F10">
        <v>3</v>
      </c>
      <c r="G10">
        <v>900.24</v>
      </c>
      <c r="H10" t="s">
        <v>1</v>
      </c>
      <c r="I10" s="1">
        <v>44504</v>
      </c>
      <c r="J10" t="s">
        <v>11</v>
      </c>
      <c r="K10">
        <f>F10*G10</f>
        <v>2700.7200000000003</v>
      </c>
      <c r="L10" t="str">
        <f>_xlfn.IFS(D10&lt;20,"Below 20",D10&lt;=30,"20-30",D10&lt;=40,"31-40",D10&lt;=50,"41-50",D10&lt;=60,"51-60",TRUE,"60+")</f>
        <v>60+</v>
      </c>
      <c r="M10" t="str">
        <f>_xlfn.IFS(K10&lt;500,"Low Spend",K10&lt;=2000,"Medium Spend",K10&lt;=5000,"High Spend",TRUE,"Premium Spend")</f>
        <v>High Spend</v>
      </c>
      <c r="N10" t="str">
        <f>_xlfn.IFS(F10=1,"1 Item",F10&lt;=3,"2-3 Items",F10&lt;=5,"4-5 Items",TRUE,"6+ Items")</f>
        <v>2-3 Items</v>
      </c>
      <c r="O10" t="str">
        <f>TEXT(I10,"mmm")</f>
        <v>Nov</v>
      </c>
      <c r="P10">
        <f>MONTH(I10)</f>
        <v>11</v>
      </c>
      <c r="Q10">
        <f>YEAR(I10)</f>
        <v>2021</v>
      </c>
      <c r="R10" t="str">
        <f>IF(K10&gt;=5000,"High Value","Regular")</f>
        <v>Regular</v>
      </c>
      <c r="S10" t="str">
        <f>IF(F10&gt;=4,"Bulk Order","Normal Order")</f>
        <v>Normal Order</v>
      </c>
    </row>
    <row r="11" spans="1:19" x14ac:dyDescent="0.3">
      <c r="A11" t="s">
        <v>1002</v>
      </c>
      <c r="B11" t="s">
        <v>1001</v>
      </c>
      <c r="C11" t="s">
        <v>3</v>
      </c>
      <c r="D11">
        <v>60</v>
      </c>
      <c r="E11" t="s">
        <v>8</v>
      </c>
      <c r="F11">
        <v>2</v>
      </c>
      <c r="G11">
        <v>600.16</v>
      </c>
      <c r="H11" t="s">
        <v>1</v>
      </c>
      <c r="I11" s="1">
        <v>44430</v>
      </c>
      <c r="J11" t="s">
        <v>28</v>
      </c>
      <c r="K11">
        <f>F11*G11</f>
        <v>1200.32</v>
      </c>
      <c r="L11" t="str">
        <f>_xlfn.IFS(D11&lt;20,"Below 20",D11&lt;=30,"20-30",D11&lt;=40,"31-40",D11&lt;=50,"41-50",D11&lt;=60,"51-60",TRUE,"60+")</f>
        <v>51-60</v>
      </c>
      <c r="M11" t="str">
        <f>_xlfn.IFS(K11&lt;500,"Low Spend",K11&lt;=2000,"Medium Spend",K11&lt;=5000,"High Spend",TRUE,"Premium Spend")</f>
        <v>Medium Spend</v>
      </c>
      <c r="N11" t="str">
        <f>_xlfn.IFS(F11=1,"1 Item",F11&lt;=3,"2-3 Items",F11&lt;=5,"4-5 Items",TRUE,"6+ Items")</f>
        <v>2-3 Items</v>
      </c>
      <c r="O11" t="str">
        <f>TEXT(I11,"mmm")</f>
        <v>Aug</v>
      </c>
      <c r="P11">
        <f>MONTH(I11)</f>
        <v>8</v>
      </c>
      <c r="Q11">
        <f>YEAR(I11)</f>
        <v>2021</v>
      </c>
      <c r="R11" t="str">
        <f>IF(K11&gt;=5000,"High Value","Regular")</f>
        <v>Regular</v>
      </c>
      <c r="S11" t="str">
        <f>IF(F11&gt;=4,"Bulk Order","Normal Order")</f>
        <v>Normal Order</v>
      </c>
    </row>
    <row r="12" spans="1:19" x14ac:dyDescent="0.3">
      <c r="A12" t="s">
        <v>1000</v>
      </c>
      <c r="B12" t="s">
        <v>999</v>
      </c>
      <c r="C12" t="s">
        <v>3</v>
      </c>
      <c r="D12">
        <v>36</v>
      </c>
      <c r="E12" t="s">
        <v>16</v>
      </c>
      <c r="F12">
        <v>2</v>
      </c>
      <c r="G12">
        <v>10.46</v>
      </c>
      <c r="H12" t="s">
        <v>15</v>
      </c>
      <c r="I12" s="1">
        <v>44920</v>
      </c>
      <c r="J12" t="s">
        <v>11</v>
      </c>
      <c r="K12">
        <f>F12*G12</f>
        <v>20.92</v>
      </c>
      <c r="L12" t="str">
        <f>_xlfn.IFS(D12&lt;20,"Below 20",D12&lt;=30,"20-30",D12&lt;=40,"31-40",D12&lt;=50,"41-50",D12&lt;=60,"51-60",TRUE,"60+")</f>
        <v>31-40</v>
      </c>
      <c r="M12" t="str">
        <f>_xlfn.IFS(K12&lt;500,"Low Spend",K12&lt;=2000,"Medium Spend",K12&lt;=5000,"High Spend",TRUE,"Premium Spend")</f>
        <v>Low Spend</v>
      </c>
      <c r="N12" t="str">
        <f>_xlfn.IFS(F12=1,"1 Item",F12&lt;=3,"2-3 Items",F12&lt;=5,"4-5 Items",TRUE,"6+ Items")</f>
        <v>2-3 Items</v>
      </c>
      <c r="O12" t="str">
        <f>TEXT(I12,"mmm")</f>
        <v>Dec</v>
      </c>
      <c r="P12">
        <f>MONTH(I12)</f>
        <v>12</v>
      </c>
      <c r="Q12">
        <f>YEAR(I12)</f>
        <v>2022</v>
      </c>
      <c r="R12" t="str">
        <f>IF(K12&gt;=5000,"High Value","Regular")</f>
        <v>Regular</v>
      </c>
      <c r="S12" t="str">
        <f>IF(F12&gt;=4,"Bulk Order","Normal Order")</f>
        <v>Normal Order</v>
      </c>
    </row>
    <row r="13" spans="1:19" x14ac:dyDescent="0.3">
      <c r="A13" t="s">
        <v>998</v>
      </c>
      <c r="B13" t="s">
        <v>997</v>
      </c>
      <c r="C13" t="s">
        <v>3</v>
      </c>
      <c r="D13">
        <v>29</v>
      </c>
      <c r="E13" t="s">
        <v>61</v>
      </c>
      <c r="F13">
        <v>1</v>
      </c>
      <c r="G13">
        <v>15.15</v>
      </c>
      <c r="H13" t="s">
        <v>1</v>
      </c>
      <c r="I13" s="1">
        <v>44862</v>
      </c>
      <c r="J13" t="s">
        <v>38</v>
      </c>
      <c r="K13">
        <f>F13*G13</f>
        <v>15.15</v>
      </c>
      <c r="L13" t="str">
        <f>_xlfn.IFS(D13&lt;20,"Below 20",D13&lt;=30,"20-30",D13&lt;=40,"31-40",D13&lt;=50,"41-50",D13&lt;=60,"51-60",TRUE,"60+")</f>
        <v>20-30</v>
      </c>
      <c r="M13" t="str">
        <f>_xlfn.IFS(K13&lt;500,"Low Spend",K13&lt;=2000,"Medium Spend",K13&lt;=5000,"High Spend",TRUE,"Premium Spend")</f>
        <v>Low Spend</v>
      </c>
      <c r="N13" t="str">
        <f>_xlfn.IFS(F13=1,"1 Item",F13&lt;=3,"2-3 Items",F13&lt;=5,"4-5 Items",TRUE,"6+ Items")</f>
        <v>1 Item</v>
      </c>
      <c r="O13" t="str">
        <f>TEXT(I13,"mmm")</f>
        <v>Oct</v>
      </c>
      <c r="P13">
        <f>MONTH(I13)</f>
        <v>10</v>
      </c>
      <c r="Q13">
        <f>YEAR(I13)</f>
        <v>2022</v>
      </c>
      <c r="R13" t="str">
        <f>IF(K13&gt;=5000,"High Value","Regular")</f>
        <v>Regular</v>
      </c>
      <c r="S13" t="str">
        <f>IF(F13&gt;=4,"Bulk Order","Normal Order")</f>
        <v>Normal Order</v>
      </c>
    </row>
    <row r="14" spans="1:19" x14ac:dyDescent="0.3">
      <c r="A14" t="s">
        <v>996</v>
      </c>
      <c r="B14" t="s">
        <v>995</v>
      </c>
      <c r="C14" t="s">
        <v>3</v>
      </c>
      <c r="D14">
        <v>67</v>
      </c>
      <c r="E14" t="s">
        <v>2</v>
      </c>
      <c r="F14">
        <v>4</v>
      </c>
      <c r="G14">
        <v>143.36000000000001</v>
      </c>
      <c r="H14" t="s">
        <v>7</v>
      </c>
      <c r="I14" s="1">
        <v>44773</v>
      </c>
      <c r="J14" t="s">
        <v>11</v>
      </c>
      <c r="K14">
        <f>F14*G14</f>
        <v>573.44000000000005</v>
      </c>
      <c r="L14" t="str">
        <f>_xlfn.IFS(D14&lt;20,"Below 20",D14&lt;=30,"20-30",D14&lt;=40,"31-40",D14&lt;=50,"41-50",D14&lt;=60,"51-60",TRUE,"60+")</f>
        <v>60+</v>
      </c>
      <c r="M14" t="str">
        <f>_xlfn.IFS(K14&lt;500,"Low Spend",K14&lt;=2000,"Medium Spend",K14&lt;=5000,"High Spend",TRUE,"Premium Spend")</f>
        <v>Medium Spend</v>
      </c>
      <c r="N14" t="str">
        <f>_xlfn.IFS(F14=1,"1 Item",F14&lt;=3,"2-3 Items",F14&lt;=5,"4-5 Items",TRUE,"6+ Items")</f>
        <v>4-5 Items</v>
      </c>
      <c r="O14" t="str">
        <f>TEXT(I14,"mmm")</f>
        <v>Jul</v>
      </c>
      <c r="P14">
        <f>MONTH(I14)</f>
        <v>7</v>
      </c>
      <c r="Q14">
        <f>YEAR(I14)</f>
        <v>2022</v>
      </c>
      <c r="R14" t="str">
        <f>IF(K14&gt;=5000,"High Value","Regular")</f>
        <v>Regular</v>
      </c>
      <c r="S14" t="str">
        <f>IF(F14&gt;=4,"Bulk Order","Normal Order")</f>
        <v>Bulk Order</v>
      </c>
    </row>
    <row r="15" spans="1:19" x14ac:dyDescent="0.3">
      <c r="A15" t="s">
        <v>994</v>
      </c>
      <c r="B15" t="s">
        <v>993</v>
      </c>
      <c r="C15" t="s">
        <v>12</v>
      </c>
      <c r="D15">
        <v>25</v>
      </c>
      <c r="E15" t="s">
        <v>8</v>
      </c>
      <c r="F15">
        <v>2</v>
      </c>
      <c r="G15">
        <v>600.16</v>
      </c>
      <c r="H15" t="s">
        <v>15</v>
      </c>
      <c r="I15" s="1">
        <v>44882</v>
      </c>
      <c r="J15" t="s">
        <v>102</v>
      </c>
      <c r="K15">
        <f>F15*G15</f>
        <v>1200.32</v>
      </c>
      <c r="L15" t="str">
        <f>_xlfn.IFS(D15&lt;20,"Below 20",D15&lt;=30,"20-30",D15&lt;=40,"31-40",D15&lt;=50,"41-50",D15&lt;=60,"51-60",TRUE,"60+")</f>
        <v>20-30</v>
      </c>
      <c r="M15" t="str">
        <f>_xlfn.IFS(K15&lt;500,"Low Spend",K15&lt;=2000,"Medium Spend",K15&lt;=5000,"High Spend",TRUE,"Premium Spend")</f>
        <v>Medium Spend</v>
      </c>
      <c r="N15" t="str">
        <f>_xlfn.IFS(F15=1,"1 Item",F15&lt;=3,"2-3 Items",F15&lt;=5,"4-5 Items",TRUE,"6+ Items")</f>
        <v>2-3 Items</v>
      </c>
      <c r="O15" t="str">
        <f>TEXT(I15,"mmm")</f>
        <v>Nov</v>
      </c>
      <c r="P15">
        <f>MONTH(I15)</f>
        <v>11</v>
      </c>
      <c r="Q15">
        <f>YEAR(I15)</f>
        <v>2022</v>
      </c>
      <c r="R15" t="str">
        <f>IF(K15&gt;=5000,"High Value","Regular")</f>
        <v>Regular</v>
      </c>
      <c r="S15" t="str">
        <f>IF(F15&gt;=4,"Bulk Order","Normal Order")</f>
        <v>Normal Order</v>
      </c>
    </row>
    <row r="16" spans="1:19" x14ac:dyDescent="0.3">
      <c r="A16" t="s">
        <v>992</v>
      </c>
      <c r="B16" t="s">
        <v>991</v>
      </c>
      <c r="C16" t="s">
        <v>3</v>
      </c>
      <c r="D16">
        <v>67</v>
      </c>
      <c r="E16" t="s">
        <v>8</v>
      </c>
      <c r="F16">
        <v>2</v>
      </c>
      <c r="G16">
        <v>600.16</v>
      </c>
      <c r="H16" t="s">
        <v>1</v>
      </c>
      <c r="I16" s="1">
        <v>44715</v>
      </c>
      <c r="J16" t="s">
        <v>28</v>
      </c>
      <c r="K16">
        <f>F16*G16</f>
        <v>1200.32</v>
      </c>
      <c r="L16" t="str">
        <f>_xlfn.IFS(D16&lt;20,"Below 20",D16&lt;=30,"20-30",D16&lt;=40,"31-40",D16&lt;=50,"41-50",D16&lt;=60,"51-60",TRUE,"60+")</f>
        <v>60+</v>
      </c>
      <c r="M16" t="str">
        <f>_xlfn.IFS(K16&lt;500,"Low Spend",K16&lt;=2000,"Medium Spend",K16&lt;=5000,"High Spend",TRUE,"Premium Spend")</f>
        <v>Medium Spend</v>
      </c>
      <c r="N16" t="str">
        <f>_xlfn.IFS(F16=1,"1 Item",F16&lt;=3,"2-3 Items",F16&lt;=5,"4-5 Items",TRUE,"6+ Items")</f>
        <v>2-3 Items</v>
      </c>
      <c r="O16" t="str">
        <f>TEXT(I16,"mmm")</f>
        <v>Jun</v>
      </c>
      <c r="P16">
        <f>MONTH(I16)</f>
        <v>6</v>
      </c>
      <c r="Q16">
        <f>YEAR(I16)</f>
        <v>2022</v>
      </c>
      <c r="R16" t="str">
        <f>IF(K16&gt;=5000,"High Value","Regular")</f>
        <v>Regular</v>
      </c>
      <c r="S16" t="str">
        <f>IF(F16&gt;=4,"Bulk Order","Normal Order")</f>
        <v>Normal Order</v>
      </c>
    </row>
    <row r="17" spans="1:19" x14ac:dyDescent="0.3">
      <c r="A17" t="s">
        <v>990</v>
      </c>
      <c r="B17" t="s">
        <v>989</v>
      </c>
      <c r="C17" t="s">
        <v>12</v>
      </c>
      <c r="D17">
        <v>24</v>
      </c>
      <c r="E17" t="s">
        <v>31</v>
      </c>
      <c r="F17">
        <v>5</v>
      </c>
      <c r="G17">
        <v>3000.85</v>
      </c>
      <c r="H17" t="s">
        <v>1</v>
      </c>
      <c r="I17" s="1">
        <v>44507</v>
      </c>
      <c r="J17" t="s">
        <v>6</v>
      </c>
      <c r="K17">
        <f>F17*G17</f>
        <v>15004.25</v>
      </c>
      <c r="L17" t="str">
        <f>_xlfn.IFS(D17&lt;20,"Below 20",D17&lt;=30,"20-30",D17&lt;=40,"31-40",D17&lt;=50,"41-50",D17&lt;=60,"51-60",TRUE,"60+")</f>
        <v>20-30</v>
      </c>
      <c r="M17" t="str">
        <f>_xlfn.IFS(K17&lt;500,"Low Spend",K17&lt;=2000,"Medium Spend",K17&lt;=5000,"High Spend",TRUE,"Premium Spend")</f>
        <v>Premium Spend</v>
      </c>
      <c r="N17" t="str">
        <f>_xlfn.IFS(F17=1,"1 Item",F17&lt;=3,"2-3 Items",F17&lt;=5,"4-5 Items",TRUE,"6+ Items")</f>
        <v>4-5 Items</v>
      </c>
      <c r="O17" t="str">
        <f>TEXT(I17,"mmm")</f>
        <v>Nov</v>
      </c>
      <c r="P17">
        <f>MONTH(I17)</f>
        <v>11</v>
      </c>
      <c r="Q17">
        <f>YEAR(I17)</f>
        <v>2021</v>
      </c>
      <c r="R17" t="str">
        <f>IF(K17&gt;=5000,"High Value","Regular")</f>
        <v>High Value</v>
      </c>
      <c r="S17" t="str">
        <f>IF(F17&gt;=4,"Bulk Order","Normal Order")</f>
        <v>Bulk Order</v>
      </c>
    </row>
    <row r="18" spans="1:19" x14ac:dyDescent="0.3">
      <c r="A18" t="s">
        <v>988</v>
      </c>
      <c r="B18" t="s">
        <v>987</v>
      </c>
      <c r="C18" t="s">
        <v>12</v>
      </c>
      <c r="D18">
        <v>65</v>
      </c>
      <c r="E18" t="s">
        <v>61</v>
      </c>
      <c r="F18">
        <v>2</v>
      </c>
      <c r="G18">
        <v>30.3</v>
      </c>
      <c r="H18" t="s">
        <v>7</v>
      </c>
      <c r="I18" s="1">
        <v>44212</v>
      </c>
      <c r="J18" t="s">
        <v>11</v>
      </c>
      <c r="K18">
        <f>F18*G18</f>
        <v>60.6</v>
      </c>
      <c r="L18" t="str">
        <f>_xlfn.IFS(D18&lt;20,"Below 20",D18&lt;=30,"20-30",D18&lt;=40,"31-40",D18&lt;=50,"41-50",D18&lt;=60,"51-60",TRUE,"60+")</f>
        <v>60+</v>
      </c>
      <c r="M18" t="str">
        <f>_xlfn.IFS(K18&lt;500,"Low Spend",K18&lt;=2000,"Medium Spend",K18&lt;=5000,"High Spend",TRUE,"Premium Spend")</f>
        <v>Low Spend</v>
      </c>
      <c r="N18" t="str">
        <f>_xlfn.IFS(F18=1,"1 Item",F18&lt;=3,"2-3 Items",F18&lt;=5,"4-5 Items",TRUE,"6+ Items")</f>
        <v>2-3 Items</v>
      </c>
      <c r="O18" t="str">
        <f>TEXT(I18,"mmm")</f>
        <v>Jan</v>
      </c>
      <c r="P18">
        <f>MONTH(I18)</f>
        <v>1</v>
      </c>
      <c r="Q18">
        <f>YEAR(I18)</f>
        <v>2021</v>
      </c>
      <c r="R18" t="str">
        <f>IF(K18&gt;=5000,"High Value","Regular")</f>
        <v>Regular</v>
      </c>
      <c r="S18" t="str">
        <f>IF(F18&gt;=4,"Bulk Order","Normal Order")</f>
        <v>Normal Order</v>
      </c>
    </row>
    <row r="19" spans="1:19" x14ac:dyDescent="0.3">
      <c r="A19" t="s">
        <v>986</v>
      </c>
      <c r="B19" t="s">
        <v>985</v>
      </c>
      <c r="C19" t="s">
        <v>3</v>
      </c>
      <c r="D19">
        <v>42</v>
      </c>
      <c r="E19" t="s">
        <v>16</v>
      </c>
      <c r="F19">
        <v>3</v>
      </c>
      <c r="G19">
        <v>15.69</v>
      </c>
      <c r="H19" t="s">
        <v>1</v>
      </c>
      <c r="I19" s="1">
        <v>44566</v>
      </c>
      <c r="J19" t="s">
        <v>107</v>
      </c>
      <c r="K19">
        <f>F19*G19</f>
        <v>47.07</v>
      </c>
      <c r="L19" t="str">
        <f>_xlfn.IFS(D19&lt;20,"Below 20",D19&lt;=30,"20-30",D19&lt;=40,"31-40",D19&lt;=50,"41-50",D19&lt;=60,"51-60",TRUE,"60+")</f>
        <v>41-50</v>
      </c>
      <c r="M19" t="str">
        <f>_xlfn.IFS(K19&lt;500,"Low Spend",K19&lt;=2000,"Medium Spend",K19&lt;=5000,"High Spend",TRUE,"Premium Spend")</f>
        <v>Low Spend</v>
      </c>
      <c r="N19" t="str">
        <f>_xlfn.IFS(F19=1,"1 Item",F19&lt;=3,"2-3 Items",F19&lt;=5,"4-5 Items",TRUE,"6+ Items")</f>
        <v>2-3 Items</v>
      </c>
      <c r="O19" t="str">
        <f>TEXT(I19,"mmm")</f>
        <v>Jan</v>
      </c>
      <c r="P19">
        <f>MONTH(I19)</f>
        <v>1</v>
      </c>
      <c r="Q19">
        <f>YEAR(I19)</f>
        <v>2022</v>
      </c>
      <c r="R19" t="str">
        <f>IF(K19&gt;=5000,"High Value","Regular")</f>
        <v>Regular</v>
      </c>
      <c r="S19" t="str">
        <f>IF(F19&gt;=4,"Bulk Order","Normal Order")</f>
        <v>Normal Order</v>
      </c>
    </row>
    <row r="20" spans="1:19" x14ac:dyDescent="0.3">
      <c r="A20" t="s">
        <v>984</v>
      </c>
      <c r="B20" t="s">
        <v>983</v>
      </c>
      <c r="C20" t="s">
        <v>3</v>
      </c>
      <c r="D20">
        <v>46</v>
      </c>
      <c r="E20" t="s">
        <v>8</v>
      </c>
      <c r="F20">
        <v>2</v>
      </c>
      <c r="G20">
        <v>600.16</v>
      </c>
      <c r="H20" t="s">
        <v>15</v>
      </c>
      <c r="I20" s="1">
        <v>44403</v>
      </c>
      <c r="J20" t="s">
        <v>68</v>
      </c>
      <c r="K20">
        <f>F20*G20</f>
        <v>1200.32</v>
      </c>
      <c r="L20" t="str">
        <f>_xlfn.IFS(D20&lt;20,"Below 20",D20&lt;=30,"20-30",D20&lt;=40,"31-40",D20&lt;=50,"41-50",D20&lt;=60,"51-60",TRUE,"60+")</f>
        <v>41-50</v>
      </c>
      <c r="M20" t="str">
        <f>_xlfn.IFS(K20&lt;500,"Low Spend",K20&lt;=2000,"Medium Spend",K20&lt;=5000,"High Spend",TRUE,"Premium Spend")</f>
        <v>Medium Spend</v>
      </c>
      <c r="N20" t="str">
        <f>_xlfn.IFS(F20=1,"1 Item",F20&lt;=3,"2-3 Items",F20&lt;=5,"4-5 Items",TRUE,"6+ Items")</f>
        <v>2-3 Items</v>
      </c>
      <c r="O20" t="str">
        <f>TEXT(I20,"mmm")</f>
        <v>Jul</v>
      </c>
      <c r="P20">
        <f>MONTH(I20)</f>
        <v>7</v>
      </c>
      <c r="Q20">
        <f>YEAR(I20)</f>
        <v>2021</v>
      </c>
      <c r="R20" t="str">
        <f>IF(K20&gt;=5000,"High Value","Regular")</f>
        <v>Regular</v>
      </c>
      <c r="S20" t="str">
        <f>IF(F20&gt;=4,"Bulk Order","Normal Order")</f>
        <v>Normal Order</v>
      </c>
    </row>
    <row r="21" spans="1:19" x14ac:dyDescent="0.3">
      <c r="A21" t="s">
        <v>982</v>
      </c>
      <c r="B21" t="s">
        <v>981</v>
      </c>
      <c r="C21" t="s">
        <v>12</v>
      </c>
      <c r="D21">
        <v>24</v>
      </c>
      <c r="E21" t="s">
        <v>2</v>
      </c>
      <c r="F21">
        <v>4</v>
      </c>
      <c r="G21">
        <v>143.36000000000001</v>
      </c>
      <c r="H21" t="s">
        <v>15</v>
      </c>
      <c r="I21" s="1">
        <v>44992</v>
      </c>
      <c r="J21" t="s">
        <v>102</v>
      </c>
      <c r="K21">
        <f>F21*G21</f>
        <v>573.44000000000005</v>
      </c>
      <c r="L21" t="str">
        <f>_xlfn.IFS(D21&lt;20,"Below 20",D21&lt;=30,"20-30",D21&lt;=40,"31-40",D21&lt;=50,"41-50",D21&lt;=60,"51-60",TRUE,"60+")</f>
        <v>20-30</v>
      </c>
      <c r="M21" t="str">
        <f>_xlfn.IFS(K21&lt;500,"Low Spend",K21&lt;=2000,"Medium Spend",K21&lt;=5000,"High Spend",TRUE,"Premium Spend")</f>
        <v>Medium Spend</v>
      </c>
      <c r="N21" t="str">
        <f>_xlfn.IFS(F21=1,"1 Item",F21&lt;=3,"2-3 Items",F21&lt;=5,"4-5 Items",TRUE,"6+ Items")</f>
        <v>4-5 Items</v>
      </c>
      <c r="O21" t="str">
        <f>TEXT(I21,"mmm")</f>
        <v>Mar</v>
      </c>
      <c r="P21">
        <f>MONTH(I21)</f>
        <v>3</v>
      </c>
      <c r="Q21">
        <f>YEAR(I21)</f>
        <v>2023</v>
      </c>
      <c r="R21" t="str">
        <f>IF(K21&gt;=5000,"High Value","Regular")</f>
        <v>Regular</v>
      </c>
      <c r="S21" t="str">
        <f>IF(F21&gt;=4,"Bulk Order","Normal Order")</f>
        <v>Bulk Order</v>
      </c>
    </row>
    <row r="22" spans="1:19" x14ac:dyDescent="0.3">
      <c r="A22" t="s">
        <v>980</v>
      </c>
      <c r="B22" t="s">
        <v>979</v>
      </c>
      <c r="C22" t="s">
        <v>12</v>
      </c>
      <c r="D22">
        <v>23</v>
      </c>
      <c r="E22" t="s">
        <v>8</v>
      </c>
      <c r="F22">
        <v>1</v>
      </c>
      <c r="G22">
        <v>300.08</v>
      </c>
      <c r="H22" t="s">
        <v>1</v>
      </c>
      <c r="I22" s="1">
        <v>44972</v>
      </c>
      <c r="J22" t="s">
        <v>38</v>
      </c>
      <c r="K22">
        <f>F22*G22</f>
        <v>300.08</v>
      </c>
      <c r="L22" t="str">
        <f>_xlfn.IFS(D22&lt;20,"Below 20",D22&lt;=30,"20-30",D22&lt;=40,"31-40",D22&lt;=50,"41-50",D22&lt;=60,"51-60",TRUE,"60+")</f>
        <v>20-30</v>
      </c>
      <c r="M22" t="str">
        <f>_xlfn.IFS(K22&lt;500,"Low Spend",K22&lt;=2000,"Medium Spend",K22&lt;=5000,"High Spend",TRUE,"Premium Spend")</f>
        <v>Low Spend</v>
      </c>
      <c r="N22" t="str">
        <f>_xlfn.IFS(F22=1,"1 Item",F22&lt;=3,"2-3 Items",F22&lt;=5,"4-5 Items",TRUE,"6+ Items")</f>
        <v>1 Item</v>
      </c>
      <c r="O22" t="str">
        <f>TEXT(I22,"mmm")</f>
        <v>Feb</v>
      </c>
      <c r="P22">
        <f>MONTH(I22)</f>
        <v>2</v>
      </c>
      <c r="Q22">
        <f>YEAR(I22)</f>
        <v>2023</v>
      </c>
      <c r="R22" t="str">
        <f>IF(K22&gt;=5000,"High Value","Regular")</f>
        <v>Regular</v>
      </c>
      <c r="S22" t="str">
        <f>IF(F22&gt;=4,"Bulk Order","Normal Order")</f>
        <v>Normal Order</v>
      </c>
    </row>
    <row r="23" spans="1:19" x14ac:dyDescent="0.3">
      <c r="A23" t="s">
        <v>978</v>
      </c>
      <c r="B23" t="s">
        <v>977</v>
      </c>
      <c r="C23" t="s">
        <v>3</v>
      </c>
      <c r="D23">
        <v>27</v>
      </c>
      <c r="E23" t="s">
        <v>16</v>
      </c>
      <c r="F23">
        <v>1</v>
      </c>
      <c r="G23">
        <v>5.23</v>
      </c>
      <c r="H23" t="s">
        <v>15</v>
      </c>
      <c r="I23" s="1">
        <v>44317</v>
      </c>
      <c r="J23" t="s">
        <v>102</v>
      </c>
      <c r="K23">
        <f>F23*G23</f>
        <v>5.23</v>
      </c>
      <c r="L23" t="str">
        <f>_xlfn.IFS(D23&lt;20,"Below 20",D23&lt;=30,"20-30",D23&lt;=40,"31-40",D23&lt;=50,"41-50",D23&lt;=60,"51-60",TRUE,"60+")</f>
        <v>20-30</v>
      </c>
      <c r="M23" t="str">
        <f>_xlfn.IFS(K23&lt;500,"Low Spend",K23&lt;=2000,"Medium Spend",K23&lt;=5000,"High Spend",TRUE,"Premium Spend")</f>
        <v>Low Spend</v>
      </c>
      <c r="N23" t="str">
        <f>_xlfn.IFS(F23=1,"1 Item",F23&lt;=3,"2-3 Items",F23&lt;=5,"4-5 Items",TRUE,"6+ Items")</f>
        <v>1 Item</v>
      </c>
      <c r="O23" t="str">
        <f>TEXT(I23,"mmm")</f>
        <v>May</v>
      </c>
      <c r="P23">
        <f>MONTH(I23)</f>
        <v>5</v>
      </c>
      <c r="Q23">
        <f>YEAR(I23)</f>
        <v>2021</v>
      </c>
      <c r="R23" t="str">
        <f>IF(K23&gt;=5000,"High Value","Regular")</f>
        <v>Regular</v>
      </c>
      <c r="S23" t="str">
        <f>IF(F23&gt;=4,"Bulk Order","Normal Order")</f>
        <v>Normal Order</v>
      </c>
    </row>
    <row r="24" spans="1:19" x14ac:dyDescent="0.3">
      <c r="A24" t="s">
        <v>976</v>
      </c>
      <c r="B24" t="s">
        <v>975</v>
      </c>
      <c r="C24" t="s">
        <v>12</v>
      </c>
      <c r="D24">
        <v>52</v>
      </c>
      <c r="E24" t="s">
        <v>8</v>
      </c>
      <c r="F24">
        <v>2</v>
      </c>
      <c r="G24">
        <v>600.16</v>
      </c>
      <c r="H24" t="s">
        <v>1</v>
      </c>
      <c r="I24" s="1">
        <v>44730</v>
      </c>
      <c r="J24" t="s">
        <v>102</v>
      </c>
      <c r="K24">
        <f>F24*G24</f>
        <v>1200.32</v>
      </c>
      <c r="L24" t="str">
        <f>_xlfn.IFS(D24&lt;20,"Below 20",D24&lt;=30,"20-30",D24&lt;=40,"31-40",D24&lt;=50,"41-50",D24&lt;=60,"51-60",TRUE,"60+")</f>
        <v>51-60</v>
      </c>
      <c r="M24" t="str">
        <f>_xlfn.IFS(K24&lt;500,"Low Spend",K24&lt;=2000,"Medium Spend",K24&lt;=5000,"High Spend",TRUE,"Premium Spend")</f>
        <v>Medium Spend</v>
      </c>
      <c r="N24" t="str">
        <f>_xlfn.IFS(F24=1,"1 Item",F24&lt;=3,"2-3 Items",F24&lt;=5,"4-5 Items",TRUE,"6+ Items")</f>
        <v>2-3 Items</v>
      </c>
      <c r="O24" t="str">
        <f>TEXT(I24,"mmm")</f>
        <v>Jun</v>
      </c>
      <c r="P24">
        <f>MONTH(I24)</f>
        <v>6</v>
      </c>
      <c r="Q24">
        <f>YEAR(I24)</f>
        <v>2022</v>
      </c>
      <c r="R24" t="str">
        <f>IF(K24&gt;=5000,"High Value","Regular")</f>
        <v>Regular</v>
      </c>
      <c r="S24" t="str">
        <f>IF(F24&gt;=4,"Bulk Order","Normal Order")</f>
        <v>Normal Order</v>
      </c>
    </row>
    <row r="25" spans="1:19" x14ac:dyDescent="0.3">
      <c r="A25" t="s">
        <v>974</v>
      </c>
      <c r="B25" t="s">
        <v>973</v>
      </c>
      <c r="C25" t="s">
        <v>12</v>
      </c>
      <c r="D25">
        <v>44</v>
      </c>
      <c r="E25" t="s">
        <v>112</v>
      </c>
      <c r="F25">
        <v>5</v>
      </c>
      <c r="G25">
        <v>5250</v>
      </c>
      <c r="H25" t="s">
        <v>15</v>
      </c>
      <c r="I25" s="1">
        <v>44495</v>
      </c>
      <c r="J25" t="s">
        <v>28</v>
      </c>
      <c r="K25">
        <f>F25*G25</f>
        <v>26250</v>
      </c>
      <c r="L25" t="str">
        <f>_xlfn.IFS(D25&lt;20,"Below 20",D25&lt;=30,"20-30",D25&lt;=40,"31-40",D25&lt;=50,"41-50",D25&lt;=60,"51-60",TRUE,"60+")</f>
        <v>41-50</v>
      </c>
      <c r="M25" t="str">
        <f>_xlfn.IFS(K25&lt;500,"Low Spend",K25&lt;=2000,"Medium Spend",K25&lt;=5000,"High Spend",TRUE,"Premium Spend")</f>
        <v>Premium Spend</v>
      </c>
      <c r="N25" t="str">
        <f>_xlfn.IFS(F25=1,"1 Item",F25&lt;=3,"2-3 Items",F25&lt;=5,"4-5 Items",TRUE,"6+ Items")</f>
        <v>4-5 Items</v>
      </c>
      <c r="O25" t="str">
        <f>TEXT(I25,"mmm")</f>
        <v>Oct</v>
      </c>
      <c r="P25">
        <f>MONTH(I25)</f>
        <v>10</v>
      </c>
      <c r="Q25">
        <f>YEAR(I25)</f>
        <v>2021</v>
      </c>
      <c r="R25" t="str">
        <f>IF(K25&gt;=5000,"High Value","Regular")</f>
        <v>High Value</v>
      </c>
      <c r="S25" t="str">
        <f>IF(F25&gt;=4,"Bulk Order","Normal Order")</f>
        <v>Bulk Order</v>
      </c>
    </row>
    <row r="26" spans="1:19" x14ac:dyDescent="0.3">
      <c r="A26" t="s">
        <v>972</v>
      </c>
      <c r="B26" t="s">
        <v>971</v>
      </c>
      <c r="C26" t="s">
        <v>3</v>
      </c>
      <c r="D26">
        <v>42</v>
      </c>
      <c r="E26" t="s">
        <v>61</v>
      </c>
      <c r="F26">
        <v>5</v>
      </c>
      <c r="G26">
        <v>75.75</v>
      </c>
      <c r="H26" t="s">
        <v>15</v>
      </c>
      <c r="I26" s="1">
        <v>44911</v>
      </c>
      <c r="J26" t="s">
        <v>11</v>
      </c>
      <c r="K26">
        <f>F26*G26</f>
        <v>378.75</v>
      </c>
      <c r="L26" t="str">
        <f>_xlfn.IFS(D26&lt;20,"Below 20",D26&lt;=30,"20-30",D26&lt;=40,"31-40",D26&lt;=50,"41-50",D26&lt;=60,"51-60",TRUE,"60+")</f>
        <v>41-50</v>
      </c>
      <c r="M26" t="str">
        <f>_xlfn.IFS(K26&lt;500,"Low Spend",K26&lt;=2000,"Medium Spend",K26&lt;=5000,"High Spend",TRUE,"Premium Spend")</f>
        <v>Low Spend</v>
      </c>
      <c r="N26" t="str">
        <f>_xlfn.IFS(F26=1,"1 Item",F26&lt;=3,"2-3 Items",F26&lt;=5,"4-5 Items",TRUE,"6+ Items")</f>
        <v>4-5 Items</v>
      </c>
      <c r="O26" t="str">
        <f>TEXT(I26,"mmm")</f>
        <v>Dec</v>
      </c>
      <c r="P26">
        <f>MONTH(I26)</f>
        <v>12</v>
      </c>
      <c r="Q26">
        <f>YEAR(I26)</f>
        <v>2022</v>
      </c>
      <c r="R26" t="str">
        <f>IF(K26&gt;=5000,"High Value","Regular")</f>
        <v>Regular</v>
      </c>
      <c r="S26" t="str">
        <f>IF(F26&gt;=4,"Bulk Order","Normal Order")</f>
        <v>Bulk Order</v>
      </c>
    </row>
    <row r="27" spans="1:19" x14ac:dyDescent="0.3">
      <c r="A27" t="s">
        <v>970</v>
      </c>
      <c r="B27" t="s">
        <v>969</v>
      </c>
      <c r="C27" t="s">
        <v>12</v>
      </c>
      <c r="D27">
        <v>51</v>
      </c>
      <c r="E27" t="s">
        <v>2</v>
      </c>
      <c r="F27">
        <v>2</v>
      </c>
      <c r="G27">
        <v>71.680000000000007</v>
      </c>
      <c r="H27" t="s">
        <v>7</v>
      </c>
      <c r="I27" s="1">
        <v>44332</v>
      </c>
      <c r="J27" t="s">
        <v>0</v>
      </c>
      <c r="K27">
        <f>F27*G27</f>
        <v>143.36000000000001</v>
      </c>
      <c r="L27" t="str">
        <f>_xlfn.IFS(D27&lt;20,"Below 20",D27&lt;=30,"20-30",D27&lt;=40,"31-40",D27&lt;=50,"41-50",D27&lt;=60,"51-60",TRUE,"60+")</f>
        <v>51-60</v>
      </c>
      <c r="M27" t="str">
        <f>_xlfn.IFS(K27&lt;500,"Low Spend",K27&lt;=2000,"Medium Spend",K27&lt;=5000,"High Spend",TRUE,"Premium Spend")</f>
        <v>Low Spend</v>
      </c>
      <c r="N27" t="str">
        <f>_xlfn.IFS(F27=1,"1 Item",F27&lt;=3,"2-3 Items",F27&lt;=5,"4-5 Items",TRUE,"6+ Items")</f>
        <v>2-3 Items</v>
      </c>
      <c r="O27" t="str">
        <f>TEXT(I27,"mmm")</f>
        <v>May</v>
      </c>
      <c r="P27">
        <f>MONTH(I27)</f>
        <v>5</v>
      </c>
      <c r="Q27">
        <f>YEAR(I27)</f>
        <v>2021</v>
      </c>
      <c r="R27" t="str">
        <f>IF(K27&gt;=5000,"High Value","Regular")</f>
        <v>Regular</v>
      </c>
      <c r="S27" t="str">
        <f>IF(F27&gt;=4,"Bulk Order","Normal Order")</f>
        <v>Normal Order</v>
      </c>
    </row>
    <row r="28" spans="1:19" x14ac:dyDescent="0.3">
      <c r="A28" t="s">
        <v>968</v>
      </c>
      <c r="B28" t="s">
        <v>967</v>
      </c>
      <c r="C28" t="s">
        <v>3</v>
      </c>
      <c r="D28">
        <v>25</v>
      </c>
      <c r="E28" t="s">
        <v>19</v>
      </c>
      <c r="F28">
        <v>5</v>
      </c>
      <c r="G28">
        <v>203.3</v>
      </c>
      <c r="H28" t="s">
        <v>1</v>
      </c>
      <c r="I28" s="1">
        <v>44671</v>
      </c>
      <c r="J28" t="s">
        <v>22</v>
      </c>
      <c r="K28">
        <f>F28*G28</f>
        <v>1016.5</v>
      </c>
      <c r="L28" t="str">
        <f>_xlfn.IFS(D28&lt;20,"Below 20",D28&lt;=30,"20-30",D28&lt;=40,"31-40",D28&lt;=50,"41-50",D28&lt;=60,"51-60",TRUE,"60+")</f>
        <v>20-30</v>
      </c>
      <c r="M28" t="str">
        <f>_xlfn.IFS(K28&lt;500,"Low Spend",K28&lt;=2000,"Medium Spend",K28&lt;=5000,"High Spend",TRUE,"Premium Spend")</f>
        <v>Medium Spend</v>
      </c>
      <c r="N28" t="str">
        <f>_xlfn.IFS(F28=1,"1 Item",F28&lt;=3,"2-3 Items",F28&lt;=5,"4-5 Items",TRUE,"6+ Items")</f>
        <v>4-5 Items</v>
      </c>
      <c r="O28" t="str">
        <f>TEXT(I28,"mmm")</f>
        <v>Apr</v>
      </c>
      <c r="P28">
        <f>MONTH(I28)</f>
        <v>4</v>
      </c>
      <c r="Q28">
        <f>YEAR(I28)</f>
        <v>2022</v>
      </c>
      <c r="R28" t="str">
        <f>IF(K28&gt;=5000,"High Value","Regular")</f>
        <v>Regular</v>
      </c>
      <c r="S28" t="str">
        <f>IF(F28&gt;=4,"Bulk Order","Normal Order")</f>
        <v>Bulk Order</v>
      </c>
    </row>
    <row r="29" spans="1:19" x14ac:dyDescent="0.3">
      <c r="A29" t="s">
        <v>966</v>
      </c>
      <c r="B29" t="s">
        <v>965</v>
      </c>
      <c r="C29" t="s">
        <v>12</v>
      </c>
      <c r="D29">
        <v>50</v>
      </c>
      <c r="E29" t="s">
        <v>31</v>
      </c>
      <c r="F29">
        <v>4</v>
      </c>
      <c r="G29">
        <v>2400.6799999999998</v>
      </c>
      <c r="H29" t="s">
        <v>15</v>
      </c>
      <c r="I29" s="1">
        <v>44844</v>
      </c>
      <c r="J29" t="s">
        <v>38</v>
      </c>
      <c r="K29">
        <f>F29*G29</f>
        <v>9602.7199999999993</v>
      </c>
      <c r="L29" t="str">
        <f>_xlfn.IFS(D29&lt;20,"Below 20",D29&lt;=30,"20-30",D29&lt;=40,"31-40",D29&lt;=50,"41-50",D29&lt;=60,"51-60",TRUE,"60+")</f>
        <v>41-50</v>
      </c>
      <c r="M29" t="str">
        <f>_xlfn.IFS(K29&lt;500,"Low Spend",K29&lt;=2000,"Medium Spend",K29&lt;=5000,"High Spend",TRUE,"Premium Spend")</f>
        <v>Premium Spend</v>
      </c>
      <c r="N29" t="str">
        <f>_xlfn.IFS(F29=1,"1 Item",F29&lt;=3,"2-3 Items",F29&lt;=5,"4-5 Items",TRUE,"6+ Items")</f>
        <v>4-5 Items</v>
      </c>
      <c r="O29" t="str">
        <f>TEXT(I29,"mmm")</f>
        <v>Oct</v>
      </c>
      <c r="P29">
        <f>MONTH(I29)</f>
        <v>10</v>
      </c>
      <c r="Q29">
        <f>YEAR(I29)</f>
        <v>2022</v>
      </c>
      <c r="R29" t="str">
        <f>IF(K29&gt;=5000,"High Value","Regular")</f>
        <v>High Value</v>
      </c>
      <c r="S29" t="str">
        <f>IF(F29&gt;=4,"Bulk Order","Normal Order")</f>
        <v>Bulk Order</v>
      </c>
    </row>
    <row r="30" spans="1:19" x14ac:dyDescent="0.3">
      <c r="A30" t="s">
        <v>964</v>
      </c>
      <c r="B30" t="s">
        <v>963</v>
      </c>
      <c r="C30" t="s">
        <v>3</v>
      </c>
      <c r="D30">
        <v>65</v>
      </c>
      <c r="E30" t="s">
        <v>31</v>
      </c>
      <c r="F30">
        <v>3</v>
      </c>
      <c r="G30">
        <v>1800.51</v>
      </c>
      <c r="H30" t="s">
        <v>15</v>
      </c>
      <c r="I30" s="1">
        <v>44796</v>
      </c>
      <c r="J30" t="s">
        <v>102</v>
      </c>
      <c r="K30">
        <f>F30*G30</f>
        <v>5401.53</v>
      </c>
      <c r="L30" t="str">
        <f>_xlfn.IFS(D30&lt;20,"Below 20",D30&lt;=30,"20-30",D30&lt;=40,"31-40",D30&lt;=50,"41-50",D30&lt;=60,"51-60",TRUE,"60+")</f>
        <v>60+</v>
      </c>
      <c r="M30" t="str">
        <f>_xlfn.IFS(K30&lt;500,"Low Spend",K30&lt;=2000,"Medium Spend",K30&lt;=5000,"High Spend",TRUE,"Premium Spend")</f>
        <v>Premium Spend</v>
      </c>
      <c r="N30" t="str">
        <f>_xlfn.IFS(F30=1,"1 Item",F30&lt;=3,"2-3 Items",F30&lt;=5,"4-5 Items",TRUE,"6+ Items")</f>
        <v>2-3 Items</v>
      </c>
      <c r="O30" t="str">
        <f>TEXT(I30,"mmm")</f>
        <v>Aug</v>
      </c>
      <c r="P30">
        <f>MONTH(I30)</f>
        <v>8</v>
      </c>
      <c r="Q30">
        <f>YEAR(I30)</f>
        <v>2022</v>
      </c>
      <c r="R30" t="str">
        <f>IF(K30&gt;=5000,"High Value","Regular")</f>
        <v>High Value</v>
      </c>
      <c r="S30" t="str">
        <f>IF(F30&gt;=4,"Bulk Order","Normal Order")</f>
        <v>Normal Order</v>
      </c>
    </row>
    <row r="31" spans="1:19" x14ac:dyDescent="0.3">
      <c r="A31" t="s">
        <v>962</v>
      </c>
      <c r="B31" t="s">
        <v>961</v>
      </c>
      <c r="C31" t="s">
        <v>12</v>
      </c>
      <c r="D31">
        <v>29</v>
      </c>
      <c r="E31" t="s">
        <v>19</v>
      </c>
      <c r="F31">
        <v>3</v>
      </c>
      <c r="G31">
        <v>121.98</v>
      </c>
      <c r="H31" t="s">
        <v>1</v>
      </c>
      <c r="I31" s="1">
        <v>44315</v>
      </c>
      <c r="J31" t="s">
        <v>0</v>
      </c>
      <c r="K31">
        <f>F31*G31</f>
        <v>365.94</v>
      </c>
      <c r="L31" t="str">
        <f>_xlfn.IFS(D31&lt;20,"Below 20",D31&lt;=30,"20-30",D31&lt;=40,"31-40",D31&lt;=50,"41-50",D31&lt;=60,"51-60",TRUE,"60+")</f>
        <v>20-30</v>
      </c>
      <c r="M31" t="str">
        <f>_xlfn.IFS(K31&lt;500,"Low Spend",K31&lt;=2000,"Medium Spend",K31&lt;=5000,"High Spend",TRUE,"Premium Spend")</f>
        <v>Low Spend</v>
      </c>
      <c r="N31" t="str">
        <f>_xlfn.IFS(F31=1,"1 Item",F31&lt;=3,"2-3 Items",F31&lt;=5,"4-5 Items",TRUE,"6+ Items")</f>
        <v>2-3 Items</v>
      </c>
      <c r="O31" t="str">
        <f>TEXT(I31,"mmm")</f>
        <v>Apr</v>
      </c>
      <c r="P31">
        <f>MONTH(I31)</f>
        <v>4</v>
      </c>
      <c r="Q31">
        <f>YEAR(I31)</f>
        <v>2021</v>
      </c>
      <c r="R31" t="str">
        <f>IF(K31&gt;=5000,"High Value","Regular")</f>
        <v>Regular</v>
      </c>
      <c r="S31" t="str">
        <f>IF(F31&gt;=4,"Bulk Order","Normal Order")</f>
        <v>Normal Order</v>
      </c>
    </row>
    <row r="32" spans="1:19" x14ac:dyDescent="0.3">
      <c r="A32" t="s">
        <v>960</v>
      </c>
      <c r="B32" t="s">
        <v>959</v>
      </c>
      <c r="C32" t="s">
        <v>3</v>
      </c>
      <c r="D32">
        <v>66</v>
      </c>
      <c r="E32" t="s">
        <v>2</v>
      </c>
      <c r="F32">
        <v>3</v>
      </c>
      <c r="G32">
        <v>107.52</v>
      </c>
      <c r="H32" t="s">
        <v>7</v>
      </c>
      <c r="I32" s="1">
        <v>44746</v>
      </c>
      <c r="J32" t="s">
        <v>22</v>
      </c>
      <c r="K32">
        <f>F32*G32</f>
        <v>322.56</v>
      </c>
      <c r="L32" t="str">
        <f>_xlfn.IFS(D32&lt;20,"Below 20",D32&lt;=30,"20-30",D32&lt;=40,"31-40",D32&lt;=50,"41-50",D32&lt;=60,"51-60",TRUE,"60+")</f>
        <v>60+</v>
      </c>
      <c r="M32" t="str">
        <f>_xlfn.IFS(K32&lt;500,"Low Spend",K32&lt;=2000,"Medium Spend",K32&lt;=5000,"High Spend",TRUE,"Premium Spend")</f>
        <v>Low Spend</v>
      </c>
      <c r="N32" t="str">
        <f>_xlfn.IFS(F32=1,"1 Item",F32&lt;=3,"2-3 Items",F32&lt;=5,"4-5 Items",TRUE,"6+ Items")</f>
        <v>2-3 Items</v>
      </c>
      <c r="O32" t="str">
        <f>TEXT(I32,"mmm")</f>
        <v>Jul</v>
      </c>
      <c r="P32">
        <f>MONTH(I32)</f>
        <v>7</v>
      </c>
      <c r="Q32">
        <f>YEAR(I32)</f>
        <v>2022</v>
      </c>
      <c r="R32" t="str">
        <f>IF(K32&gt;=5000,"High Value","Regular")</f>
        <v>Regular</v>
      </c>
      <c r="S32" t="str">
        <f>IF(F32&gt;=4,"Bulk Order","Normal Order")</f>
        <v>Normal Order</v>
      </c>
    </row>
    <row r="33" spans="1:19" x14ac:dyDescent="0.3">
      <c r="A33" t="s">
        <v>958</v>
      </c>
      <c r="B33" t="s">
        <v>957</v>
      </c>
      <c r="C33" t="s">
        <v>12</v>
      </c>
      <c r="D33">
        <v>23</v>
      </c>
      <c r="E33" t="s">
        <v>8</v>
      </c>
      <c r="F33">
        <v>1</v>
      </c>
      <c r="G33">
        <v>300.08</v>
      </c>
      <c r="H33" t="s">
        <v>1</v>
      </c>
      <c r="I33" s="1">
        <v>44521</v>
      </c>
      <c r="J33" t="s">
        <v>38</v>
      </c>
      <c r="K33">
        <f>F33*G33</f>
        <v>300.08</v>
      </c>
      <c r="L33" t="str">
        <f>_xlfn.IFS(D33&lt;20,"Below 20",D33&lt;=30,"20-30",D33&lt;=40,"31-40",D33&lt;=50,"41-50",D33&lt;=60,"51-60",TRUE,"60+")</f>
        <v>20-30</v>
      </c>
      <c r="M33" t="str">
        <f>_xlfn.IFS(K33&lt;500,"Low Spend",K33&lt;=2000,"Medium Spend",K33&lt;=5000,"High Spend",TRUE,"Premium Spend")</f>
        <v>Low Spend</v>
      </c>
      <c r="N33" t="str">
        <f>_xlfn.IFS(F33=1,"1 Item",F33&lt;=3,"2-3 Items",F33&lt;=5,"4-5 Items",TRUE,"6+ Items")</f>
        <v>1 Item</v>
      </c>
      <c r="O33" t="str">
        <f>TEXT(I33,"mmm")</f>
        <v>Nov</v>
      </c>
      <c r="P33">
        <f>MONTH(I33)</f>
        <v>11</v>
      </c>
      <c r="Q33">
        <f>YEAR(I33)</f>
        <v>2021</v>
      </c>
      <c r="R33" t="str">
        <f>IF(K33&gt;=5000,"High Value","Regular")</f>
        <v>Regular</v>
      </c>
      <c r="S33" t="str">
        <f>IF(F33&gt;=4,"Bulk Order","Normal Order")</f>
        <v>Normal Order</v>
      </c>
    </row>
    <row r="34" spans="1:19" x14ac:dyDescent="0.3">
      <c r="A34" t="s">
        <v>956</v>
      </c>
      <c r="B34" t="s">
        <v>955</v>
      </c>
      <c r="C34" t="s">
        <v>3</v>
      </c>
      <c r="D34">
        <v>32</v>
      </c>
      <c r="E34" t="s">
        <v>31</v>
      </c>
      <c r="F34">
        <v>3</v>
      </c>
      <c r="G34">
        <v>1800.51</v>
      </c>
      <c r="H34" t="s">
        <v>1</v>
      </c>
      <c r="I34" s="1">
        <v>44615</v>
      </c>
      <c r="J34" t="s">
        <v>28</v>
      </c>
      <c r="K34">
        <f>F34*G34</f>
        <v>5401.53</v>
      </c>
      <c r="L34" t="str">
        <f>_xlfn.IFS(D34&lt;20,"Below 20",D34&lt;=30,"20-30",D34&lt;=40,"31-40",D34&lt;=50,"41-50",D34&lt;=60,"51-60",TRUE,"60+")</f>
        <v>31-40</v>
      </c>
      <c r="M34" t="str">
        <f>_xlfn.IFS(K34&lt;500,"Low Spend",K34&lt;=2000,"Medium Spend",K34&lt;=5000,"High Spend",TRUE,"Premium Spend")</f>
        <v>Premium Spend</v>
      </c>
      <c r="N34" t="str">
        <f>_xlfn.IFS(F34=1,"1 Item",F34&lt;=3,"2-3 Items",F34&lt;=5,"4-5 Items",TRUE,"6+ Items")</f>
        <v>2-3 Items</v>
      </c>
      <c r="O34" t="str">
        <f>TEXT(I34,"mmm")</f>
        <v>Feb</v>
      </c>
      <c r="P34">
        <f>MONTH(I34)</f>
        <v>2</v>
      </c>
      <c r="Q34">
        <f>YEAR(I34)</f>
        <v>2022</v>
      </c>
      <c r="R34" t="str">
        <f>IF(K34&gt;=5000,"High Value","Regular")</f>
        <v>High Value</v>
      </c>
      <c r="S34" t="str">
        <f>IF(F34&gt;=4,"Bulk Order","Normal Order")</f>
        <v>Normal Order</v>
      </c>
    </row>
    <row r="35" spans="1:19" x14ac:dyDescent="0.3">
      <c r="A35" t="s">
        <v>954</v>
      </c>
      <c r="B35" t="s">
        <v>953</v>
      </c>
      <c r="C35" t="s">
        <v>12</v>
      </c>
      <c r="D35">
        <v>51</v>
      </c>
      <c r="E35" t="s">
        <v>8</v>
      </c>
      <c r="F35">
        <v>4</v>
      </c>
      <c r="G35">
        <v>1200.32</v>
      </c>
      <c r="H35" t="s">
        <v>7</v>
      </c>
      <c r="I35" s="1">
        <v>44388</v>
      </c>
      <c r="J35" t="s">
        <v>11</v>
      </c>
      <c r="K35">
        <f>F35*G35</f>
        <v>4801.28</v>
      </c>
      <c r="L35" t="str">
        <f>_xlfn.IFS(D35&lt;20,"Below 20",D35&lt;=30,"20-30",D35&lt;=40,"31-40",D35&lt;=50,"41-50",D35&lt;=60,"51-60",TRUE,"60+")</f>
        <v>51-60</v>
      </c>
      <c r="M35" t="str">
        <f>_xlfn.IFS(K35&lt;500,"Low Spend",K35&lt;=2000,"Medium Spend",K35&lt;=5000,"High Spend",TRUE,"Premium Spend")</f>
        <v>High Spend</v>
      </c>
      <c r="N35" t="str">
        <f>_xlfn.IFS(F35=1,"1 Item",F35&lt;=3,"2-3 Items",F35&lt;=5,"4-5 Items",TRUE,"6+ Items")</f>
        <v>4-5 Items</v>
      </c>
      <c r="O35" t="str">
        <f>TEXT(I35,"mmm")</f>
        <v>Jul</v>
      </c>
      <c r="P35">
        <f>MONTH(I35)</f>
        <v>7</v>
      </c>
      <c r="Q35">
        <f>YEAR(I35)</f>
        <v>2021</v>
      </c>
      <c r="R35" t="str">
        <f>IF(K35&gt;=5000,"High Value","Regular")</f>
        <v>Regular</v>
      </c>
      <c r="S35" t="str">
        <f>IF(F35&gt;=4,"Bulk Order","Normal Order")</f>
        <v>Bulk Order</v>
      </c>
    </row>
    <row r="36" spans="1:19" x14ac:dyDescent="0.3">
      <c r="A36" t="s">
        <v>952</v>
      </c>
      <c r="B36" t="s">
        <v>951</v>
      </c>
      <c r="C36" t="s">
        <v>3</v>
      </c>
      <c r="D36">
        <v>66</v>
      </c>
      <c r="E36" t="s">
        <v>31</v>
      </c>
      <c r="F36">
        <v>4</v>
      </c>
      <c r="G36">
        <v>2400.6799999999998</v>
      </c>
      <c r="H36" t="s">
        <v>1</v>
      </c>
      <c r="I36" s="1">
        <v>44803</v>
      </c>
      <c r="J36" t="s">
        <v>107</v>
      </c>
      <c r="K36">
        <f>F36*G36</f>
        <v>9602.7199999999993</v>
      </c>
      <c r="L36" t="str">
        <f>_xlfn.IFS(D36&lt;20,"Below 20",D36&lt;=30,"20-30",D36&lt;=40,"31-40",D36&lt;=50,"41-50",D36&lt;=60,"51-60",TRUE,"60+")</f>
        <v>60+</v>
      </c>
      <c r="M36" t="str">
        <f>_xlfn.IFS(K36&lt;500,"Low Spend",K36&lt;=2000,"Medium Spend",K36&lt;=5000,"High Spend",TRUE,"Premium Spend")</f>
        <v>Premium Spend</v>
      </c>
      <c r="N36" t="str">
        <f>_xlfn.IFS(F36=1,"1 Item",F36&lt;=3,"2-3 Items",F36&lt;=5,"4-5 Items",TRUE,"6+ Items")</f>
        <v>4-5 Items</v>
      </c>
      <c r="O36" t="str">
        <f>TEXT(I36,"mmm")</f>
        <v>Aug</v>
      </c>
      <c r="P36">
        <f>MONTH(I36)</f>
        <v>8</v>
      </c>
      <c r="Q36">
        <f>YEAR(I36)</f>
        <v>2022</v>
      </c>
      <c r="R36" t="str">
        <f>IF(K36&gt;=5000,"High Value","Regular")</f>
        <v>High Value</v>
      </c>
      <c r="S36" t="str">
        <f>IF(F36&gt;=4,"Bulk Order","Normal Order")</f>
        <v>Bulk Order</v>
      </c>
    </row>
    <row r="37" spans="1:19" x14ac:dyDescent="0.3">
      <c r="A37" t="s">
        <v>950</v>
      </c>
      <c r="B37" t="s">
        <v>949</v>
      </c>
      <c r="C37" t="s">
        <v>12</v>
      </c>
      <c r="D37">
        <v>68</v>
      </c>
      <c r="E37" t="s">
        <v>16</v>
      </c>
      <c r="F37">
        <v>1</v>
      </c>
      <c r="G37">
        <v>5.23</v>
      </c>
      <c r="H37" t="s">
        <v>1</v>
      </c>
      <c r="I37" s="1">
        <v>44930</v>
      </c>
      <c r="J37" t="s">
        <v>38</v>
      </c>
      <c r="K37">
        <f>F37*G37</f>
        <v>5.23</v>
      </c>
      <c r="L37" t="str">
        <f>_xlfn.IFS(D37&lt;20,"Below 20",D37&lt;=30,"20-30",D37&lt;=40,"31-40",D37&lt;=50,"41-50",D37&lt;=60,"51-60",TRUE,"60+")</f>
        <v>60+</v>
      </c>
      <c r="M37" t="str">
        <f>_xlfn.IFS(K37&lt;500,"Low Spend",K37&lt;=2000,"Medium Spend",K37&lt;=5000,"High Spend",TRUE,"Premium Spend")</f>
        <v>Low Spend</v>
      </c>
      <c r="N37" t="str">
        <f>_xlfn.IFS(F37=1,"1 Item",F37&lt;=3,"2-3 Items",F37&lt;=5,"4-5 Items",TRUE,"6+ Items")</f>
        <v>1 Item</v>
      </c>
      <c r="O37" t="str">
        <f>TEXT(I37,"mmm")</f>
        <v>Jan</v>
      </c>
      <c r="P37">
        <f>MONTH(I37)</f>
        <v>1</v>
      </c>
      <c r="Q37">
        <f>YEAR(I37)</f>
        <v>2023</v>
      </c>
      <c r="R37" t="str">
        <f>IF(K37&gt;=5000,"High Value","Regular")</f>
        <v>Regular</v>
      </c>
      <c r="S37" t="str">
        <f>IF(F37&gt;=4,"Bulk Order","Normal Order")</f>
        <v>Normal Order</v>
      </c>
    </row>
    <row r="38" spans="1:19" x14ac:dyDescent="0.3">
      <c r="A38" t="s">
        <v>948</v>
      </c>
      <c r="B38" t="s">
        <v>947</v>
      </c>
      <c r="C38" t="s">
        <v>12</v>
      </c>
      <c r="D38">
        <v>43</v>
      </c>
      <c r="E38" t="s">
        <v>8</v>
      </c>
      <c r="F38">
        <v>5</v>
      </c>
      <c r="G38">
        <v>1500.4</v>
      </c>
      <c r="H38" t="s">
        <v>1</v>
      </c>
      <c r="I38" s="1">
        <v>44733</v>
      </c>
      <c r="J38" t="s">
        <v>28</v>
      </c>
      <c r="K38">
        <f>F38*G38</f>
        <v>7502</v>
      </c>
      <c r="L38" t="str">
        <f>_xlfn.IFS(D38&lt;20,"Below 20",D38&lt;=30,"20-30",D38&lt;=40,"31-40",D38&lt;=50,"41-50",D38&lt;=60,"51-60",TRUE,"60+")</f>
        <v>41-50</v>
      </c>
      <c r="M38" t="str">
        <f>_xlfn.IFS(K38&lt;500,"Low Spend",K38&lt;=2000,"Medium Spend",K38&lt;=5000,"High Spend",TRUE,"Premium Spend")</f>
        <v>Premium Spend</v>
      </c>
      <c r="N38" t="str">
        <f>_xlfn.IFS(F38=1,"1 Item",F38&lt;=3,"2-3 Items",F38&lt;=5,"4-5 Items",TRUE,"6+ Items")</f>
        <v>4-5 Items</v>
      </c>
      <c r="O38" t="str">
        <f>TEXT(I38,"mmm")</f>
        <v>Jun</v>
      </c>
      <c r="P38">
        <f>MONTH(I38)</f>
        <v>6</v>
      </c>
      <c r="Q38">
        <f>YEAR(I38)</f>
        <v>2022</v>
      </c>
      <c r="R38" t="str">
        <f>IF(K38&gt;=5000,"High Value","Regular")</f>
        <v>High Value</v>
      </c>
      <c r="S38" t="str">
        <f>IF(F38&gt;=4,"Bulk Order","Normal Order")</f>
        <v>Bulk Order</v>
      </c>
    </row>
    <row r="39" spans="1:19" x14ac:dyDescent="0.3">
      <c r="A39" t="s">
        <v>946</v>
      </c>
      <c r="B39" t="s">
        <v>945</v>
      </c>
      <c r="C39" t="s">
        <v>3</v>
      </c>
      <c r="D39">
        <v>59</v>
      </c>
      <c r="E39" t="s">
        <v>8</v>
      </c>
      <c r="F39">
        <v>2</v>
      </c>
      <c r="G39">
        <v>600.16</v>
      </c>
      <c r="H39" t="s">
        <v>1</v>
      </c>
      <c r="I39" s="1">
        <v>44750</v>
      </c>
      <c r="J39" t="s">
        <v>11</v>
      </c>
      <c r="K39">
        <f>F39*G39</f>
        <v>1200.32</v>
      </c>
      <c r="L39" t="str">
        <f>_xlfn.IFS(D39&lt;20,"Below 20",D39&lt;=30,"20-30",D39&lt;=40,"31-40",D39&lt;=50,"41-50",D39&lt;=60,"51-60",TRUE,"60+")</f>
        <v>51-60</v>
      </c>
      <c r="M39" t="str">
        <f>_xlfn.IFS(K39&lt;500,"Low Spend",K39&lt;=2000,"Medium Spend",K39&lt;=5000,"High Spend",TRUE,"Premium Spend")</f>
        <v>Medium Spend</v>
      </c>
      <c r="N39" t="str">
        <f>_xlfn.IFS(F39=1,"1 Item",F39&lt;=3,"2-3 Items",F39&lt;=5,"4-5 Items",TRUE,"6+ Items")</f>
        <v>2-3 Items</v>
      </c>
      <c r="O39" t="str">
        <f>TEXT(I39,"mmm")</f>
        <v>Jul</v>
      </c>
      <c r="P39">
        <f>MONTH(I39)</f>
        <v>7</v>
      </c>
      <c r="Q39">
        <f>YEAR(I39)</f>
        <v>2022</v>
      </c>
      <c r="R39" t="str">
        <f>IF(K39&gt;=5000,"High Value","Regular")</f>
        <v>Regular</v>
      </c>
      <c r="S39" t="str">
        <f>IF(F39&gt;=4,"Bulk Order","Normal Order")</f>
        <v>Normal Order</v>
      </c>
    </row>
    <row r="40" spans="1:19" x14ac:dyDescent="0.3">
      <c r="A40" t="s">
        <v>944</v>
      </c>
      <c r="B40" t="s">
        <v>943</v>
      </c>
      <c r="C40" t="s">
        <v>12</v>
      </c>
      <c r="D40">
        <v>54</v>
      </c>
      <c r="E40" t="s">
        <v>8</v>
      </c>
      <c r="F40">
        <v>2</v>
      </c>
      <c r="G40">
        <v>600.16</v>
      </c>
      <c r="H40" t="s">
        <v>15</v>
      </c>
      <c r="I40" s="1">
        <v>44619</v>
      </c>
      <c r="J40" t="s">
        <v>28</v>
      </c>
      <c r="K40">
        <f>F40*G40</f>
        <v>1200.32</v>
      </c>
      <c r="L40" t="str">
        <f>_xlfn.IFS(D40&lt;20,"Below 20",D40&lt;=30,"20-30",D40&lt;=40,"31-40",D40&lt;=50,"41-50",D40&lt;=60,"51-60",TRUE,"60+")</f>
        <v>51-60</v>
      </c>
      <c r="M40" t="str">
        <f>_xlfn.IFS(K40&lt;500,"Low Spend",K40&lt;=2000,"Medium Spend",K40&lt;=5000,"High Spend",TRUE,"Premium Spend")</f>
        <v>Medium Spend</v>
      </c>
      <c r="N40" t="str">
        <f>_xlfn.IFS(F40=1,"1 Item",F40&lt;=3,"2-3 Items",F40&lt;=5,"4-5 Items",TRUE,"6+ Items")</f>
        <v>2-3 Items</v>
      </c>
      <c r="O40" t="str">
        <f>TEXT(I40,"mmm")</f>
        <v>Feb</v>
      </c>
      <c r="P40">
        <f>MONTH(I40)</f>
        <v>2</v>
      </c>
      <c r="Q40">
        <f>YEAR(I40)</f>
        <v>2022</v>
      </c>
      <c r="R40" t="str">
        <f>IF(K40&gt;=5000,"High Value","Regular")</f>
        <v>Regular</v>
      </c>
      <c r="S40" t="str">
        <f>IF(F40&gt;=4,"Bulk Order","Normal Order")</f>
        <v>Normal Order</v>
      </c>
    </row>
    <row r="41" spans="1:19" x14ac:dyDescent="0.3">
      <c r="A41" t="s">
        <v>942</v>
      </c>
      <c r="B41" t="s">
        <v>941</v>
      </c>
      <c r="C41" t="s">
        <v>12</v>
      </c>
      <c r="D41">
        <v>24</v>
      </c>
      <c r="E41" t="s">
        <v>8</v>
      </c>
      <c r="F41">
        <v>1</v>
      </c>
      <c r="G41">
        <v>300.08</v>
      </c>
      <c r="H41" t="s">
        <v>15</v>
      </c>
      <c r="I41" s="1">
        <v>44914</v>
      </c>
      <c r="J41" t="s">
        <v>68</v>
      </c>
      <c r="K41">
        <f>F41*G41</f>
        <v>300.08</v>
      </c>
      <c r="L41" t="str">
        <f>_xlfn.IFS(D41&lt;20,"Below 20",D41&lt;=30,"20-30",D41&lt;=40,"31-40",D41&lt;=50,"41-50",D41&lt;=60,"51-60",TRUE,"60+")</f>
        <v>20-30</v>
      </c>
      <c r="M41" t="str">
        <f>_xlfn.IFS(K41&lt;500,"Low Spend",K41&lt;=2000,"Medium Spend",K41&lt;=5000,"High Spend",TRUE,"Premium Spend")</f>
        <v>Low Spend</v>
      </c>
      <c r="N41" t="str">
        <f>_xlfn.IFS(F41=1,"1 Item",F41&lt;=3,"2-3 Items",F41&lt;=5,"4-5 Items",TRUE,"6+ Items")</f>
        <v>1 Item</v>
      </c>
      <c r="O41" t="str">
        <f>TEXT(I41,"mmm")</f>
        <v>Dec</v>
      </c>
      <c r="P41">
        <f>MONTH(I41)</f>
        <v>12</v>
      </c>
      <c r="Q41">
        <f>YEAR(I41)</f>
        <v>2022</v>
      </c>
      <c r="R41" t="str">
        <f>IF(K41&gt;=5000,"High Value","Regular")</f>
        <v>Regular</v>
      </c>
      <c r="S41" t="str">
        <f>IF(F41&gt;=4,"Bulk Order","Normal Order")</f>
        <v>Normal Order</v>
      </c>
    </row>
    <row r="42" spans="1:19" x14ac:dyDescent="0.3">
      <c r="A42" t="s">
        <v>940</v>
      </c>
      <c r="B42" t="s">
        <v>939</v>
      </c>
      <c r="C42" t="s">
        <v>3</v>
      </c>
      <c r="D42">
        <v>49</v>
      </c>
      <c r="E42" t="s">
        <v>16</v>
      </c>
      <c r="F42">
        <v>3</v>
      </c>
      <c r="G42">
        <v>15.69</v>
      </c>
      <c r="H42" t="s">
        <v>15</v>
      </c>
      <c r="I42" s="1">
        <v>44449</v>
      </c>
      <c r="J42" t="s">
        <v>107</v>
      </c>
      <c r="K42">
        <f>F42*G42</f>
        <v>47.07</v>
      </c>
      <c r="L42" t="str">
        <f>_xlfn.IFS(D42&lt;20,"Below 20",D42&lt;=30,"20-30",D42&lt;=40,"31-40",D42&lt;=50,"41-50",D42&lt;=60,"51-60",TRUE,"60+")</f>
        <v>41-50</v>
      </c>
      <c r="M42" t="str">
        <f>_xlfn.IFS(K42&lt;500,"Low Spend",K42&lt;=2000,"Medium Spend",K42&lt;=5000,"High Spend",TRUE,"Premium Spend")</f>
        <v>Low Spend</v>
      </c>
      <c r="N42" t="str">
        <f>_xlfn.IFS(F42=1,"1 Item",F42&lt;=3,"2-3 Items",F42&lt;=5,"4-5 Items",TRUE,"6+ Items")</f>
        <v>2-3 Items</v>
      </c>
      <c r="O42" t="str">
        <f>TEXT(I42,"mmm")</f>
        <v>Sep</v>
      </c>
      <c r="P42">
        <f>MONTH(I42)</f>
        <v>9</v>
      </c>
      <c r="Q42">
        <f>YEAR(I42)</f>
        <v>2021</v>
      </c>
      <c r="R42" t="str">
        <f>IF(K42&gt;=5000,"High Value","Regular")</f>
        <v>Regular</v>
      </c>
      <c r="S42" t="str">
        <f>IF(F42&gt;=4,"Bulk Order","Normal Order")</f>
        <v>Normal Order</v>
      </c>
    </row>
    <row r="43" spans="1:19" x14ac:dyDescent="0.3">
      <c r="A43" t="s">
        <v>938</v>
      </c>
      <c r="B43" t="s">
        <v>937</v>
      </c>
      <c r="C43" t="s">
        <v>12</v>
      </c>
      <c r="D43">
        <v>67</v>
      </c>
      <c r="E43" t="s">
        <v>19</v>
      </c>
      <c r="F43">
        <v>2</v>
      </c>
      <c r="G43">
        <v>81.319999999999993</v>
      </c>
      <c r="H43" t="s">
        <v>1</v>
      </c>
      <c r="I43" s="1">
        <v>44606</v>
      </c>
      <c r="J43" t="s">
        <v>68</v>
      </c>
      <c r="K43">
        <f>F43*G43</f>
        <v>162.63999999999999</v>
      </c>
      <c r="L43" t="str">
        <f>_xlfn.IFS(D43&lt;20,"Below 20",D43&lt;=30,"20-30",D43&lt;=40,"31-40",D43&lt;=50,"41-50",D43&lt;=60,"51-60",TRUE,"60+")</f>
        <v>60+</v>
      </c>
      <c r="M43" t="str">
        <f>_xlfn.IFS(K43&lt;500,"Low Spend",K43&lt;=2000,"Medium Spend",K43&lt;=5000,"High Spend",TRUE,"Premium Spend")</f>
        <v>Low Spend</v>
      </c>
      <c r="N43" t="str">
        <f>_xlfn.IFS(F43=1,"1 Item",F43&lt;=3,"2-3 Items",F43&lt;=5,"4-5 Items",TRUE,"6+ Items")</f>
        <v>2-3 Items</v>
      </c>
      <c r="O43" t="str">
        <f>TEXT(I43,"mmm")</f>
        <v>Feb</v>
      </c>
      <c r="P43">
        <f>MONTH(I43)</f>
        <v>2</v>
      </c>
      <c r="Q43">
        <f>YEAR(I43)</f>
        <v>2022</v>
      </c>
      <c r="R43" t="str">
        <f>IF(K43&gt;=5000,"High Value","Regular")</f>
        <v>Regular</v>
      </c>
      <c r="S43" t="str">
        <f>IF(F43&gt;=4,"Bulk Order","Normal Order")</f>
        <v>Normal Order</v>
      </c>
    </row>
    <row r="44" spans="1:19" x14ac:dyDescent="0.3">
      <c r="A44" t="s">
        <v>936</v>
      </c>
      <c r="B44" t="s">
        <v>935</v>
      </c>
      <c r="C44" t="s">
        <v>3</v>
      </c>
      <c r="D44">
        <v>48</v>
      </c>
      <c r="E44" t="s">
        <v>19</v>
      </c>
      <c r="F44">
        <v>3</v>
      </c>
      <c r="G44">
        <v>121.98</v>
      </c>
      <c r="H44" t="s">
        <v>15</v>
      </c>
      <c r="I44" s="1">
        <v>44679</v>
      </c>
      <c r="J44" t="s">
        <v>11</v>
      </c>
      <c r="K44">
        <f>F44*G44</f>
        <v>365.94</v>
      </c>
      <c r="L44" t="str">
        <f>_xlfn.IFS(D44&lt;20,"Below 20",D44&lt;=30,"20-30",D44&lt;=40,"31-40",D44&lt;=50,"41-50",D44&lt;=60,"51-60",TRUE,"60+")</f>
        <v>41-50</v>
      </c>
      <c r="M44" t="str">
        <f>_xlfn.IFS(K44&lt;500,"Low Spend",K44&lt;=2000,"Medium Spend",K44&lt;=5000,"High Spend",TRUE,"Premium Spend")</f>
        <v>Low Spend</v>
      </c>
      <c r="N44" t="str">
        <f>_xlfn.IFS(F44=1,"1 Item",F44&lt;=3,"2-3 Items",F44&lt;=5,"4-5 Items",TRUE,"6+ Items")</f>
        <v>2-3 Items</v>
      </c>
      <c r="O44" t="str">
        <f>TEXT(I44,"mmm")</f>
        <v>Apr</v>
      </c>
      <c r="P44">
        <f>MONTH(I44)</f>
        <v>4</v>
      </c>
      <c r="Q44">
        <f>YEAR(I44)</f>
        <v>2022</v>
      </c>
      <c r="R44" t="str">
        <f>IF(K44&gt;=5000,"High Value","Regular")</f>
        <v>Regular</v>
      </c>
      <c r="S44" t="str">
        <f>IF(F44&gt;=4,"Bulk Order","Normal Order")</f>
        <v>Normal Order</v>
      </c>
    </row>
    <row r="45" spans="1:19" x14ac:dyDescent="0.3">
      <c r="A45" t="s">
        <v>934</v>
      </c>
      <c r="B45" t="s">
        <v>933</v>
      </c>
      <c r="C45" t="s">
        <v>3</v>
      </c>
      <c r="D45">
        <v>40</v>
      </c>
      <c r="E45" t="s">
        <v>31</v>
      </c>
      <c r="F45">
        <v>4</v>
      </c>
      <c r="G45">
        <v>2400.6799999999998</v>
      </c>
      <c r="H45" t="s">
        <v>15</v>
      </c>
      <c r="I45" s="1">
        <v>44732</v>
      </c>
      <c r="J45" t="s">
        <v>11</v>
      </c>
      <c r="K45">
        <f>F45*G45</f>
        <v>9602.7199999999993</v>
      </c>
      <c r="L45" t="str">
        <f>_xlfn.IFS(D45&lt;20,"Below 20",D45&lt;=30,"20-30",D45&lt;=40,"31-40",D45&lt;=50,"41-50",D45&lt;=60,"51-60",TRUE,"60+")</f>
        <v>31-40</v>
      </c>
      <c r="M45" t="str">
        <f>_xlfn.IFS(K45&lt;500,"Low Spend",K45&lt;=2000,"Medium Spend",K45&lt;=5000,"High Spend",TRUE,"Premium Spend")</f>
        <v>Premium Spend</v>
      </c>
      <c r="N45" t="str">
        <f>_xlfn.IFS(F45=1,"1 Item",F45&lt;=3,"2-3 Items",F45&lt;=5,"4-5 Items",TRUE,"6+ Items")</f>
        <v>4-5 Items</v>
      </c>
      <c r="O45" t="str">
        <f>TEXT(I45,"mmm")</f>
        <v>Jun</v>
      </c>
      <c r="P45">
        <f>MONTH(I45)</f>
        <v>6</v>
      </c>
      <c r="Q45">
        <f>YEAR(I45)</f>
        <v>2022</v>
      </c>
      <c r="R45" t="str">
        <f>IF(K45&gt;=5000,"High Value","Regular")</f>
        <v>High Value</v>
      </c>
      <c r="S45" t="str">
        <f>IF(F45&gt;=4,"Bulk Order","Normal Order")</f>
        <v>Bulk Order</v>
      </c>
    </row>
    <row r="46" spans="1:19" x14ac:dyDescent="0.3">
      <c r="A46" t="s">
        <v>932</v>
      </c>
      <c r="B46" t="s">
        <v>931</v>
      </c>
      <c r="C46" t="s">
        <v>3</v>
      </c>
      <c r="D46">
        <v>41</v>
      </c>
      <c r="E46" t="s">
        <v>31</v>
      </c>
      <c r="F46">
        <v>3</v>
      </c>
      <c r="G46">
        <v>1800.51</v>
      </c>
      <c r="H46" t="s">
        <v>1</v>
      </c>
      <c r="I46" s="1">
        <v>44672</v>
      </c>
      <c r="J46" t="s">
        <v>28</v>
      </c>
      <c r="K46">
        <f>F46*G46</f>
        <v>5401.53</v>
      </c>
      <c r="L46" t="str">
        <f>_xlfn.IFS(D46&lt;20,"Below 20",D46&lt;=30,"20-30",D46&lt;=40,"31-40",D46&lt;=50,"41-50",D46&lt;=60,"51-60",TRUE,"60+")</f>
        <v>41-50</v>
      </c>
      <c r="M46" t="str">
        <f>_xlfn.IFS(K46&lt;500,"Low Spend",K46&lt;=2000,"Medium Spend",K46&lt;=5000,"High Spend",TRUE,"Premium Spend")</f>
        <v>Premium Spend</v>
      </c>
      <c r="N46" t="str">
        <f>_xlfn.IFS(F46=1,"1 Item",F46&lt;=3,"2-3 Items",F46&lt;=5,"4-5 Items",TRUE,"6+ Items")</f>
        <v>2-3 Items</v>
      </c>
      <c r="O46" t="str">
        <f>TEXT(I46,"mmm")</f>
        <v>Apr</v>
      </c>
      <c r="P46">
        <f>MONTH(I46)</f>
        <v>4</v>
      </c>
      <c r="Q46">
        <f>YEAR(I46)</f>
        <v>2022</v>
      </c>
      <c r="R46" t="str">
        <f>IF(K46&gt;=5000,"High Value","Regular")</f>
        <v>High Value</v>
      </c>
      <c r="S46" t="str">
        <f>IF(F46&gt;=4,"Bulk Order","Normal Order")</f>
        <v>Normal Order</v>
      </c>
    </row>
    <row r="47" spans="1:19" x14ac:dyDescent="0.3">
      <c r="A47" t="s">
        <v>930</v>
      </c>
      <c r="B47" t="s">
        <v>929</v>
      </c>
      <c r="C47" t="s">
        <v>12</v>
      </c>
      <c r="D47">
        <v>46</v>
      </c>
      <c r="E47" t="s">
        <v>61</v>
      </c>
      <c r="F47">
        <v>5</v>
      </c>
      <c r="G47">
        <v>75.75</v>
      </c>
      <c r="H47" t="s">
        <v>1</v>
      </c>
      <c r="I47" s="1">
        <v>44904</v>
      </c>
      <c r="J47" t="s">
        <v>107</v>
      </c>
      <c r="K47">
        <f>F47*G47</f>
        <v>378.75</v>
      </c>
      <c r="L47" t="str">
        <f>_xlfn.IFS(D47&lt;20,"Below 20",D47&lt;=30,"20-30",D47&lt;=40,"31-40",D47&lt;=50,"41-50",D47&lt;=60,"51-60",TRUE,"60+")</f>
        <v>41-50</v>
      </c>
      <c r="M47" t="str">
        <f>_xlfn.IFS(K47&lt;500,"Low Spend",K47&lt;=2000,"Medium Spend",K47&lt;=5000,"High Spend",TRUE,"Premium Spend")</f>
        <v>Low Spend</v>
      </c>
      <c r="N47" t="str">
        <f>_xlfn.IFS(F47=1,"1 Item",F47&lt;=3,"2-3 Items",F47&lt;=5,"4-5 Items",TRUE,"6+ Items")</f>
        <v>4-5 Items</v>
      </c>
      <c r="O47" t="str">
        <f>TEXT(I47,"mmm")</f>
        <v>Dec</v>
      </c>
      <c r="P47">
        <f>MONTH(I47)</f>
        <v>12</v>
      </c>
      <c r="Q47">
        <f>YEAR(I47)</f>
        <v>2022</v>
      </c>
      <c r="R47" t="str">
        <f>IF(K47&gt;=5000,"High Value","Regular")</f>
        <v>Regular</v>
      </c>
      <c r="S47" t="str">
        <f>IF(F47&gt;=4,"Bulk Order","Normal Order")</f>
        <v>Bulk Order</v>
      </c>
    </row>
    <row r="48" spans="1:19" x14ac:dyDescent="0.3">
      <c r="A48" t="s">
        <v>928</v>
      </c>
      <c r="B48" t="s">
        <v>927</v>
      </c>
      <c r="C48" t="s">
        <v>3</v>
      </c>
      <c r="D48">
        <v>19</v>
      </c>
      <c r="E48" t="s">
        <v>19</v>
      </c>
      <c r="F48">
        <v>3</v>
      </c>
      <c r="G48">
        <v>121.98</v>
      </c>
      <c r="H48" t="s">
        <v>1</v>
      </c>
      <c r="I48" s="1">
        <v>44938</v>
      </c>
      <c r="J48" t="s">
        <v>22</v>
      </c>
      <c r="K48">
        <f>F48*G48</f>
        <v>365.94</v>
      </c>
      <c r="L48" t="str">
        <f>_xlfn.IFS(D48&lt;20,"Below 20",D48&lt;=30,"20-30",D48&lt;=40,"31-40",D48&lt;=50,"41-50",D48&lt;=60,"51-60",TRUE,"60+")</f>
        <v>Below 20</v>
      </c>
      <c r="M48" t="str">
        <f>_xlfn.IFS(K48&lt;500,"Low Spend",K48&lt;=2000,"Medium Spend",K48&lt;=5000,"High Spend",TRUE,"Premium Spend")</f>
        <v>Low Spend</v>
      </c>
      <c r="N48" t="str">
        <f>_xlfn.IFS(F48=1,"1 Item",F48&lt;=3,"2-3 Items",F48&lt;=5,"4-5 Items",TRUE,"6+ Items")</f>
        <v>2-3 Items</v>
      </c>
      <c r="O48" t="str">
        <f>TEXT(I48,"mmm")</f>
        <v>Jan</v>
      </c>
      <c r="P48">
        <f>MONTH(I48)</f>
        <v>1</v>
      </c>
      <c r="Q48">
        <f>YEAR(I48)</f>
        <v>2023</v>
      </c>
      <c r="R48" t="str">
        <f>IF(K48&gt;=5000,"High Value","Regular")</f>
        <v>Regular</v>
      </c>
      <c r="S48" t="str">
        <f>IF(F48&gt;=4,"Bulk Order","Normal Order")</f>
        <v>Normal Order</v>
      </c>
    </row>
    <row r="49" spans="1:19" x14ac:dyDescent="0.3">
      <c r="A49" t="s">
        <v>926</v>
      </c>
      <c r="B49" t="s">
        <v>925</v>
      </c>
      <c r="C49" t="s">
        <v>3</v>
      </c>
      <c r="D49">
        <v>43</v>
      </c>
      <c r="E49" t="s">
        <v>8</v>
      </c>
      <c r="F49">
        <v>4</v>
      </c>
      <c r="G49">
        <v>1200.32</v>
      </c>
      <c r="H49" t="s">
        <v>7</v>
      </c>
      <c r="I49" s="1">
        <v>44872</v>
      </c>
      <c r="J49" t="s">
        <v>107</v>
      </c>
      <c r="K49">
        <f>F49*G49</f>
        <v>4801.28</v>
      </c>
      <c r="L49" t="str">
        <f>_xlfn.IFS(D49&lt;20,"Below 20",D49&lt;=30,"20-30",D49&lt;=40,"31-40",D49&lt;=50,"41-50",D49&lt;=60,"51-60",TRUE,"60+")</f>
        <v>41-50</v>
      </c>
      <c r="M49" t="str">
        <f>_xlfn.IFS(K49&lt;500,"Low Spend",K49&lt;=2000,"Medium Spend",K49&lt;=5000,"High Spend",TRUE,"Premium Spend")</f>
        <v>High Spend</v>
      </c>
      <c r="N49" t="str">
        <f>_xlfn.IFS(F49=1,"1 Item",F49&lt;=3,"2-3 Items",F49&lt;=5,"4-5 Items",TRUE,"6+ Items")</f>
        <v>4-5 Items</v>
      </c>
      <c r="O49" t="str">
        <f>TEXT(I49,"mmm")</f>
        <v>Nov</v>
      </c>
      <c r="P49">
        <f>MONTH(I49)</f>
        <v>11</v>
      </c>
      <c r="Q49">
        <f>YEAR(I49)</f>
        <v>2022</v>
      </c>
      <c r="R49" t="str">
        <f>IF(K49&gt;=5000,"High Value","Regular")</f>
        <v>Regular</v>
      </c>
      <c r="S49" t="str">
        <f>IF(F49&gt;=4,"Bulk Order","Normal Order")</f>
        <v>Bulk Order</v>
      </c>
    </row>
    <row r="50" spans="1:19" x14ac:dyDescent="0.3">
      <c r="A50" t="s">
        <v>924</v>
      </c>
      <c r="B50" t="s">
        <v>923</v>
      </c>
      <c r="C50" t="s">
        <v>12</v>
      </c>
      <c r="D50">
        <v>18</v>
      </c>
      <c r="E50" t="s">
        <v>19</v>
      </c>
      <c r="F50">
        <v>3</v>
      </c>
      <c r="G50">
        <v>121.98</v>
      </c>
      <c r="H50" t="s">
        <v>7</v>
      </c>
      <c r="I50" s="1">
        <v>44599</v>
      </c>
      <c r="J50" t="s">
        <v>107</v>
      </c>
      <c r="K50">
        <f>F50*G50</f>
        <v>365.94</v>
      </c>
      <c r="L50" t="str">
        <f>_xlfn.IFS(D50&lt;20,"Below 20",D50&lt;=30,"20-30",D50&lt;=40,"31-40",D50&lt;=50,"41-50",D50&lt;=60,"51-60",TRUE,"60+")</f>
        <v>Below 20</v>
      </c>
      <c r="M50" t="str">
        <f>_xlfn.IFS(K50&lt;500,"Low Spend",K50&lt;=2000,"Medium Spend",K50&lt;=5000,"High Spend",TRUE,"Premium Spend")</f>
        <v>Low Spend</v>
      </c>
      <c r="N50" t="str">
        <f>_xlfn.IFS(F50=1,"1 Item",F50&lt;=3,"2-3 Items",F50&lt;=5,"4-5 Items",TRUE,"6+ Items")</f>
        <v>2-3 Items</v>
      </c>
      <c r="O50" t="str">
        <f>TEXT(I50,"mmm")</f>
        <v>Feb</v>
      </c>
      <c r="P50">
        <f>MONTH(I50)</f>
        <v>2</v>
      </c>
      <c r="Q50">
        <f>YEAR(I50)</f>
        <v>2022</v>
      </c>
      <c r="R50" t="str">
        <f>IF(K50&gt;=5000,"High Value","Regular")</f>
        <v>Regular</v>
      </c>
      <c r="S50" t="str">
        <f>IF(F50&gt;=4,"Bulk Order","Normal Order")</f>
        <v>Normal Order</v>
      </c>
    </row>
    <row r="51" spans="1:19" x14ac:dyDescent="0.3">
      <c r="A51" t="s">
        <v>922</v>
      </c>
      <c r="B51" t="s">
        <v>921</v>
      </c>
      <c r="C51" t="s">
        <v>3</v>
      </c>
      <c r="D51">
        <v>22</v>
      </c>
      <c r="E51" t="s">
        <v>61</v>
      </c>
      <c r="F51">
        <v>5</v>
      </c>
      <c r="G51">
        <v>75.75</v>
      </c>
      <c r="H51" t="s">
        <v>7</v>
      </c>
      <c r="I51" s="1">
        <v>44360</v>
      </c>
      <c r="J51" t="s">
        <v>97</v>
      </c>
      <c r="K51">
        <f>F51*G51</f>
        <v>378.75</v>
      </c>
      <c r="L51" t="str">
        <f>_xlfn.IFS(D51&lt;20,"Below 20",D51&lt;=30,"20-30",D51&lt;=40,"31-40",D51&lt;=50,"41-50",D51&lt;=60,"51-60",TRUE,"60+")</f>
        <v>20-30</v>
      </c>
      <c r="M51" t="str">
        <f>_xlfn.IFS(K51&lt;500,"Low Spend",K51&lt;=2000,"Medium Spend",K51&lt;=5000,"High Spend",TRUE,"Premium Spend")</f>
        <v>Low Spend</v>
      </c>
      <c r="N51" t="str">
        <f>_xlfn.IFS(F51=1,"1 Item",F51&lt;=3,"2-3 Items",F51&lt;=5,"4-5 Items",TRUE,"6+ Items")</f>
        <v>4-5 Items</v>
      </c>
      <c r="O51" t="str">
        <f>TEXT(I51,"mmm")</f>
        <v>Jun</v>
      </c>
      <c r="P51">
        <f>MONTH(I51)</f>
        <v>6</v>
      </c>
      <c r="Q51">
        <f>YEAR(I51)</f>
        <v>2021</v>
      </c>
      <c r="R51" t="str">
        <f>IF(K51&gt;=5000,"High Value","Regular")</f>
        <v>Regular</v>
      </c>
      <c r="S51" t="str">
        <f>IF(F51&gt;=4,"Bulk Order","Normal Order")</f>
        <v>Bulk Order</v>
      </c>
    </row>
    <row r="52" spans="1:19" x14ac:dyDescent="0.3">
      <c r="A52" t="s">
        <v>920</v>
      </c>
      <c r="B52" t="s">
        <v>919</v>
      </c>
      <c r="C52" t="s">
        <v>3</v>
      </c>
      <c r="D52">
        <v>61</v>
      </c>
      <c r="E52" t="s">
        <v>19</v>
      </c>
      <c r="F52">
        <v>5</v>
      </c>
      <c r="G52">
        <v>203.3</v>
      </c>
      <c r="H52" t="s">
        <v>15</v>
      </c>
      <c r="I52" s="1">
        <v>44431</v>
      </c>
      <c r="J52" t="s">
        <v>38</v>
      </c>
      <c r="K52">
        <f>F52*G52</f>
        <v>1016.5</v>
      </c>
      <c r="L52" t="str">
        <f>_xlfn.IFS(D52&lt;20,"Below 20",D52&lt;=30,"20-30",D52&lt;=40,"31-40",D52&lt;=50,"41-50",D52&lt;=60,"51-60",TRUE,"60+")</f>
        <v>60+</v>
      </c>
      <c r="M52" t="str">
        <f>_xlfn.IFS(K52&lt;500,"Low Spend",K52&lt;=2000,"Medium Spend",K52&lt;=5000,"High Spend",TRUE,"Premium Spend")</f>
        <v>Medium Spend</v>
      </c>
      <c r="N52" t="str">
        <f>_xlfn.IFS(F52=1,"1 Item",F52&lt;=3,"2-3 Items",F52&lt;=5,"4-5 Items",TRUE,"6+ Items")</f>
        <v>4-5 Items</v>
      </c>
      <c r="O52" t="str">
        <f>TEXT(I52,"mmm")</f>
        <v>Aug</v>
      </c>
      <c r="P52">
        <f>MONTH(I52)</f>
        <v>8</v>
      </c>
      <c r="Q52">
        <f>YEAR(I52)</f>
        <v>2021</v>
      </c>
      <c r="R52" t="str">
        <f>IF(K52&gt;=5000,"High Value","Regular")</f>
        <v>Regular</v>
      </c>
      <c r="S52" t="str">
        <f>IF(F52&gt;=4,"Bulk Order","Normal Order")</f>
        <v>Bulk Order</v>
      </c>
    </row>
    <row r="53" spans="1:19" x14ac:dyDescent="0.3">
      <c r="A53" t="s">
        <v>918</v>
      </c>
      <c r="B53" t="s">
        <v>917</v>
      </c>
      <c r="C53" t="s">
        <v>3</v>
      </c>
      <c r="D53">
        <v>41</v>
      </c>
      <c r="E53" t="s">
        <v>61</v>
      </c>
      <c r="F53">
        <v>3</v>
      </c>
      <c r="G53">
        <v>45.45</v>
      </c>
      <c r="H53" t="s">
        <v>15</v>
      </c>
      <c r="I53" s="1">
        <v>44981</v>
      </c>
      <c r="J53" t="s">
        <v>0</v>
      </c>
      <c r="K53">
        <f>F53*G53</f>
        <v>136.35000000000002</v>
      </c>
      <c r="L53" t="str">
        <f>_xlfn.IFS(D53&lt;20,"Below 20",D53&lt;=30,"20-30",D53&lt;=40,"31-40",D53&lt;=50,"41-50",D53&lt;=60,"51-60",TRUE,"60+")</f>
        <v>41-50</v>
      </c>
      <c r="M53" t="str">
        <f>_xlfn.IFS(K53&lt;500,"Low Spend",K53&lt;=2000,"Medium Spend",K53&lt;=5000,"High Spend",TRUE,"Premium Spend")</f>
        <v>Low Spend</v>
      </c>
      <c r="N53" t="str">
        <f>_xlfn.IFS(F53=1,"1 Item",F53&lt;=3,"2-3 Items",F53&lt;=5,"4-5 Items",TRUE,"6+ Items")</f>
        <v>2-3 Items</v>
      </c>
      <c r="O53" t="str">
        <f>TEXT(I53,"mmm")</f>
        <v>Feb</v>
      </c>
      <c r="P53">
        <f>MONTH(I53)</f>
        <v>2</v>
      </c>
      <c r="Q53">
        <f>YEAR(I53)</f>
        <v>2023</v>
      </c>
      <c r="R53" t="str">
        <f>IF(K53&gt;=5000,"High Value","Regular")</f>
        <v>Regular</v>
      </c>
      <c r="S53" t="str">
        <f>IF(F53&gt;=4,"Bulk Order","Normal Order")</f>
        <v>Normal Order</v>
      </c>
    </row>
    <row r="54" spans="1:19" x14ac:dyDescent="0.3">
      <c r="A54" t="s">
        <v>916</v>
      </c>
      <c r="B54" t="s">
        <v>915</v>
      </c>
      <c r="C54" t="s">
        <v>3</v>
      </c>
      <c r="D54">
        <v>53</v>
      </c>
      <c r="E54" t="s">
        <v>19</v>
      </c>
      <c r="F54">
        <v>2</v>
      </c>
      <c r="G54">
        <v>81.319999999999993</v>
      </c>
      <c r="H54" t="s">
        <v>1</v>
      </c>
      <c r="I54" s="1">
        <v>44938</v>
      </c>
      <c r="J54" t="s">
        <v>0</v>
      </c>
      <c r="K54">
        <f>F54*G54</f>
        <v>162.63999999999999</v>
      </c>
      <c r="L54" t="str">
        <f>_xlfn.IFS(D54&lt;20,"Below 20",D54&lt;=30,"20-30",D54&lt;=40,"31-40",D54&lt;=50,"41-50",D54&lt;=60,"51-60",TRUE,"60+")</f>
        <v>51-60</v>
      </c>
      <c r="M54" t="str">
        <f>_xlfn.IFS(K54&lt;500,"Low Spend",K54&lt;=2000,"Medium Spend",K54&lt;=5000,"High Spend",TRUE,"Premium Spend")</f>
        <v>Low Spend</v>
      </c>
      <c r="N54" t="str">
        <f>_xlfn.IFS(F54=1,"1 Item",F54&lt;=3,"2-3 Items",F54&lt;=5,"4-5 Items",TRUE,"6+ Items")</f>
        <v>2-3 Items</v>
      </c>
      <c r="O54" t="str">
        <f>TEXT(I54,"mmm")</f>
        <v>Jan</v>
      </c>
      <c r="P54">
        <f>MONTH(I54)</f>
        <v>1</v>
      </c>
      <c r="Q54">
        <f>YEAR(I54)</f>
        <v>2023</v>
      </c>
      <c r="R54" t="str">
        <f>IF(K54&gt;=5000,"High Value","Regular")</f>
        <v>Regular</v>
      </c>
      <c r="S54" t="str">
        <f>IF(F54&gt;=4,"Bulk Order","Normal Order")</f>
        <v>Normal Order</v>
      </c>
    </row>
    <row r="55" spans="1:19" x14ac:dyDescent="0.3">
      <c r="A55" t="s">
        <v>914</v>
      </c>
      <c r="B55" t="s">
        <v>913</v>
      </c>
      <c r="C55" t="s">
        <v>3</v>
      </c>
      <c r="D55">
        <v>43</v>
      </c>
      <c r="E55" t="s">
        <v>112</v>
      </c>
      <c r="F55">
        <v>4</v>
      </c>
      <c r="G55">
        <v>4200</v>
      </c>
      <c r="H55" t="s">
        <v>15</v>
      </c>
      <c r="I55" s="1">
        <v>44614</v>
      </c>
      <c r="J55" t="s">
        <v>11</v>
      </c>
      <c r="K55">
        <f>F55*G55</f>
        <v>16800</v>
      </c>
      <c r="L55" t="str">
        <f>_xlfn.IFS(D55&lt;20,"Below 20",D55&lt;=30,"20-30",D55&lt;=40,"31-40",D55&lt;=50,"41-50",D55&lt;=60,"51-60",TRUE,"60+")</f>
        <v>41-50</v>
      </c>
      <c r="M55" t="str">
        <f>_xlfn.IFS(K55&lt;500,"Low Spend",K55&lt;=2000,"Medium Spend",K55&lt;=5000,"High Spend",TRUE,"Premium Spend")</f>
        <v>Premium Spend</v>
      </c>
      <c r="N55" t="str">
        <f>_xlfn.IFS(F55=1,"1 Item",F55&lt;=3,"2-3 Items",F55&lt;=5,"4-5 Items",TRUE,"6+ Items")</f>
        <v>4-5 Items</v>
      </c>
      <c r="O55" t="str">
        <f>TEXT(I55,"mmm")</f>
        <v>Feb</v>
      </c>
      <c r="P55">
        <f>MONTH(I55)</f>
        <v>2</v>
      </c>
      <c r="Q55">
        <f>YEAR(I55)</f>
        <v>2022</v>
      </c>
      <c r="R55" t="str">
        <f>IF(K55&gt;=5000,"High Value","Regular")</f>
        <v>High Value</v>
      </c>
      <c r="S55" t="str">
        <f>IF(F55&gt;=4,"Bulk Order","Normal Order")</f>
        <v>Bulk Order</v>
      </c>
    </row>
    <row r="56" spans="1:19" x14ac:dyDescent="0.3">
      <c r="A56" t="s">
        <v>912</v>
      </c>
      <c r="B56" t="s">
        <v>911</v>
      </c>
      <c r="C56" t="s">
        <v>3</v>
      </c>
      <c r="D56">
        <v>45</v>
      </c>
      <c r="E56" t="s">
        <v>16</v>
      </c>
      <c r="F56">
        <v>3</v>
      </c>
      <c r="G56">
        <v>15.69</v>
      </c>
      <c r="H56" t="s">
        <v>7</v>
      </c>
      <c r="I56" s="1">
        <v>44267</v>
      </c>
      <c r="J56" t="s">
        <v>6</v>
      </c>
      <c r="K56">
        <f>F56*G56</f>
        <v>47.07</v>
      </c>
      <c r="L56" t="str">
        <f>_xlfn.IFS(D56&lt;20,"Below 20",D56&lt;=30,"20-30",D56&lt;=40,"31-40",D56&lt;=50,"41-50",D56&lt;=60,"51-60",TRUE,"60+")</f>
        <v>41-50</v>
      </c>
      <c r="M56" t="str">
        <f>_xlfn.IFS(K56&lt;500,"Low Spend",K56&lt;=2000,"Medium Spend",K56&lt;=5000,"High Spend",TRUE,"Premium Spend")</f>
        <v>Low Spend</v>
      </c>
      <c r="N56" t="str">
        <f>_xlfn.IFS(F56=1,"1 Item",F56&lt;=3,"2-3 Items",F56&lt;=5,"4-5 Items",TRUE,"6+ Items")</f>
        <v>2-3 Items</v>
      </c>
      <c r="O56" t="str">
        <f>TEXT(I56,"mmm")</f>
        <v>Mar</v>
      </c>
      <c r="P56">
        <f>MONTH(I56)</f>
        <v>3</v>
      </c>
      <c r="Q56">
        <f>YEAR(I56)</f>
        <v>2021</v>
      </c>
      <c r="R56" t="str">
        <f>IF(K56&gt;=5000,"High Value","Regular")</f>
        <v>Regular</v>
      </c>
      <c r="S56" t="str">
        <f>IF(F56&gt;=4,"Bulk Order","Normal Order")</f>
        <v>Normal Order</v>
      </c>
    </row>
    <row r="57" spans="1:19" x14ac:dyDescent="0.3">
      <c r="A57" t="s">
        <v>910</v>
      </c>
      <c r="B57" t="s">
        <v>909</v>
      </c>
      <c r="C57" t="s">
        <v>3</v>
      </c>
      <c r="D57">
        <v>29</v>
      </c>
      <c r="E57" t="s">
        <v>8</v>
      </c>
      <c r="F57">
        <v>1</v>
      </c>
      <c r="G57">
        <v>300.08</v>
      </c>
      <c r="H57" t="s">
        <v>15</v>
      </c>
      <c r="I57" s="1">
        <v>44563</v>
      </c>
      <c r="J57" t="s">
        <v>0</v>
      </c>
      <c r="K57">
        <f>F57*G57</f>
        <v>300.08</v>
      </c>
      <c r="L57" t="str">
        <f>_xlfn.IFS(D57&lt;20,"Below 20",D57&lt;=30,"20-30",D57&lt;=40,"31-40",D57&lt;=50,"41-50",D57&lt;=60,"51-60",TRUE,"60+")</f>
        <v>20-30</v>
      </c>
      <c r="M57" t="str">
        <f>_xlfn.IFS(K57&lt;500,"Low Spend",K57&lt;=2000,"Medium Spend",K57&lt;=5000,"High Spend",TRUE,"Premium Spend")</f>
        <v>Low Spend</v>
      </c>
      <c r="N57" t="str">
        <f>_xlfn.IFS(F57=1,"1 Item",F57&lt;=3,"2-3 Items",F57&lt;=5,"4-5 Items",TRUE,"6+ Items")</f>
        <v>1 Item</v>
      </c>
      <c r="O57" t="str">
        <f>TEXT(I57,"mmm")</f>
        <v>Jan</v>
      </c>
      <c r="P57">
        <f>MONTH(I57)</f>
        <v>1</v>
      </c>
      <c r="Q57">
        <f>YEAR(I57)</f>
        <v>2022</v>
      </c>
      <c r="R57" t="str">
        <f>IF(K57&gt;=5000,"High Value","Regular")</f>
        <v>Regular</v>
      </c>
      <c r="S57" t="str">
        <f>IF(F57&gt;=4,"Bulk Order","Normal Order")</f>
        <v>Normal Order</v>
      </c>
    </row>
    <row r="58" spans="1:19" x14ac:dyDescent="0.3">
      <c r="A58" t="s">
        <v>908</v>
      </c>
      <c r="B58" t="s">
        <v>907</v>
      </c>
      <c r="C58" t="s">
        <v>12</v>
      </c>
      <c r="D58">
        <v>43</v>
      </c>
      <c r="E58" t="s">
        <v>2</v>
      </c>
      <c r="F58">
        <v>2</v>
      </c>
      <c r="G58">
        <v>71.680000000000007</v>
      </c>
      <c r="H58" t="s">
        <v>15</v>
      </c>
      <c r="I58" s="1">
        <v>44526</v>
      </c>
      <c r="J58" t="s">
        <v>28</v>
      </c>
      <c r="K58">
        <f>F58*G58</f>
        <v>143.36000000000001</v>
      </c>
      <c r="L58" t="str">
        <f>_xlfn.IFS(D58&lt;20,"Below 20",D58&lt;=30,"20-30",D58&lt;=40,"31-40",D58&lt;=50,"41-50",D58&lt;=60,"51-60",TRUE,"60+")</f>
        <v>41-50</v>
      </c>
      <c r="M58" t="str">
        <f>_xlfn.IFS(K58&lt;500,"Low Spend",K58&lt;=2000,"Medium Spend",K58&lt;=5000,"High Spend",TRUE,"Premium Spend")</f>
        <v>Low Spend</v>
      </c>
      <c r="N58" t="str">
        <f>_xlfn.IFS(F58=1,"1 Item",F58&lt;=3,"2-3 Items",F58&lt;=5,"4-5 Items",TRUE,"6+ Items")</f>
        <v>2-3 Items</v>
      </c>
      <c r="O58" t="str">
        <f>TEXT(I58,"mmm")</f>
        <v>Nov</v>
      </c>
      <c r="P58">
        <f>MONTH(I58)</f>
        <v>11</v>
      </c>
      <c r="Q58">
        <f>YEAR(I58)</f>
        <v>2021</v>
      </c>
      <c r="R58" t="str">
        <f>IF(K58&gt;=5000,"High Value","Regular")</f>
        <v>Regular</v>
      </c>
      <c r="S58" t="str">
        <f>IF(F58&gt;=4,"Bulk Order","Normal Order")</f>
        <v>Normal Order</v>
      </c>
    </row>
    <row r="59" spans="1:19" x14ac:dyDescent="0.3">
      <c r="A59" t="s">
        <v>906</v>
      </c>
      <c r="B59" t="s">
        <v>905</v>
      </c>
      <c r="C59" t="s">
        <v>3</v>
      </c>
      <c r="D59">
        <v>19</v>
      </c>
      <c r="E59" t="s">
        <v>8</v>
      </c>
      <c r="F59">
        <v>4</v>
      </c>
      <c r="G59">
        <v>1200.32</v>
      </c>
      <c r="H59" t="s">
        <v>1</v>
      </c>
      <c r="I59" s="1">
        <v>44307</v>
      </c>
      <c r="J59" t="s">
        <v>28</v>
      </c>
      <c r="K59">
        <f>F59*G59</f>
        <v>4801.28</v>
      </c>
      <c r="L59" t="str">
        <f>_xlfn.IFS(D59&lt;20,"Below 20",D59&lt;=30,"20-30",D59&lt;=40,"31-40",D59&lt;=50,"41-50",D59&lt;=60,"51-60",TRUE,"60+")</f>
        <v>Below 20</v>
      </c>
      <c r="M59" t="str">
        <f>_xlfn.IFS(K59&lt;500,"Low Spend",K59&lt;=2000,"Medium Spend",K59&lt;=5000,"High Spend",TRUE,"Premium Spend")</f>
        <v>High Spend</v>
      </c>
      <c r="N59" t="str">
        <f>_xlfn.IFS(F59=1,"1 Item",F59&lt;=3,"2-3 Items",F59&lt;=5,"4-5 Items",TRUE,"6+ Items")</f>
        <v>4-5 Items</v>
      </c>
      <c r="O59" t="str">
        <f>TEXT(I59,"mmm")</f>
        <v>Apr</v>
      </c>
      <c r="P59">
        <f>MONTH(I59)</f>
        <v>4</v>
      </c>
      <c r="Q59">
        <f>YEAR(I59)</f>
        <v>2021</v>
      </c>
      <c r="R59" t="str">
        <f>IF(K59&gt;=5000,"High Value","Regular")</f>
        <v>Regular</v>
      </c>
      <c r="S59" t="str">
        <f>IF(F59&gt;=4,"Bulk Order","Normal Order")</f>
        <v>Bulk Order</v>
      </c>
    </row>
    <row r="60" spans="1:19" x14ac:dyDescent="0.3">
      <c r="A60" t="s">
        <v>904</v>
      </c>
      <c r="B60" t="s">
        <v>903</v>
      </c>
      <c r="C60" t="s">
        <v>3</v>
      </c>
      <c r="D60">
        <v>67</v>
      </c>
      <c r="E60" t="s">
        <v>16</v>
      </c>
      <c r="F60">
        <v>3</v>
      </c>
      <c r="G60">
        <v>15.69</v>
      </c>
      <c r="H60" t="s">
        <v>15</v>
      </c>
      <c r="I60" s="1">
        <v>44370</v>
      </c>
      <c r="J60" t="s">
        <v>28</v>
      </c>
      <c r="K60">
        <f>F60*G60</f>
        <v>47.07</v>
      </c>
      <c r="L60" t="str">
        <f>_xlfn.IFS(D60&lt;20,"Below 20",D60&lt;=30,"20-30",D60&lt;=40,"31-40",D60&lt;=50,"41-50",D60&lt;=60,"51-60",TRUE,"60+")</f>
        <v>60+</v>
      </c>
      <c r="M60" t="str">
        <f>_xlfn.IFS(K60&lt;500,"Low Spend",K60&lt;=2000,"Medium Spend",K60&lt;=5000,"High Spend",TRUE,"Premium Spend")</f>
        <v>Low Spend</v>
      </c>
      <c r="N60" t="str">
        <f>_xlfn.IFS(F60=1,"1 Item",F60&lt;=3,"2-3 Items",F60&lt;=5,"4-5 Items",TRUE,"6+ Items")</f>
        <v>2-3 Items</v>
      </c>
      <c r="O60" t="str">
        <f>TEXT(I60,"mmm")</f>
        <v>Jun</v>
      </c>
      <c r="P60">
        <f>MONTH(I60)</f>
        <v>6</v>
      </c>
      <c r="Q60">
        <f>YEAR(I60)</f>
        <v>2021</v>
      </c>
      <c r="R60" t="str">
        <f>IF(K60&gt;=5000,"High Value","Regular")</f>
        <v>Regular</v>
      </c>
      <c r="S60" t="str">
        <f>IF(F60&gt;=4,"Bulk Order","Normal Order")</f>
        <v>Normal Order</v>
      </c>
    </row>
    <row r="61" spans="1:19" x14ac:dyDescent="0.3">
      <c r="A61" t="s">
        <v>902</v>
      </c>
      <c r="B61" t="s">
        <v>901</v>
      </c>
      <c r="C61" t="s">
        <v>3</v>
      </c>
      <c r="D61">
        <v>36</v>
      </c>
      <c r="E61" t="s">
        <v>61</v>
      </c>
      <c r="F61">
        <v>4</v>
      </c>
      <c r="G61">
        <v>60.6</v>
      </c>
      <c r="H61" t="s">
        <v>15</v>
      </c>
      <c r="I61" s="1">
        <v>44544</v>
      </c>
      <c r="J61" t="s">
        <v>28</v>
      </c>
      <c r="K61">
        <f>F61*G61</f>
        <v>242.4</v>
      </c>
      <c r="L61" t="str">
        <f>_xlfn.IFS(D61&lt;20,"Below 20",D61&lt;=30,"20-30",D61&lt;=40,"31-40",D61&lt;=50,"41-50",D61&lt;=60,"51-60",TRUE,"60+")</f>
        <v>31-40</v>
      </c>
      <c r="M61" t="str">
        <f>_xlfn.IFS(K61&lt;500,"Low Spend",K61&lt;=2000,"Medium Spend",K61&lt;=5000,"High Spend",TRUE,"Premium Spend")</f>
        <v>Low Spend</v>
      </c>
      <c r="N61" t="str">
        <f>_xlfn.IFS(F61=1,"1 Item",F61&lt;=3,"2-3 Items",F61&lt;=5,"4-5 Items",TRUE,"6+ Items")</f>
        <v>4-5 Items</v>
      </c>
      <c r="O61" t="str">
        <f>TEXT(I61,"mmm")</f>
        <v>Dec</v>
      </c>
      <c r="P61">
        <f>MONTH(I61)</f>
        <v>12</v>
      </c>
      <c r="Q61">
        <f>YEAR(I61)</f>
        <v>2021</v>
      </c>
      <c r="R61" t="str">
        <f>IF(K61&gt;=5000,"High Value","Regular")</f>
        <v>Regular</v>
      </c>
      <c r="S61" t="str">
        <f>IF(F61&gt;=4,"Bulk Order","Normal Order")</f>
        <v>Bulk Order</v>
      </c>
    </row>
    <row r="62" spans="1:19" x14ac:dyDescent="0.3">
      <c r="A62" t="s">
        <v>900</v>
      </c>
      <c r="B62" t="s">
        <v>899</v>
      </c>
      <c r="C62" t="s">
        <v>12</v>
      </c>
      <c r="D62">
        <v>64</v>
      </c>
      <c r="E62" t="s">
        <v>8</v>
      </c>
      <c r="F62">
        <v>5</v>
      </c>
      <c r="G62">
        <v>1500.4</v>
      </c>
      <c r="H62" t="s">
        <v>1</v>
      </c>
      <c r="I62" s="1">
        <v>44721</v>
      </c>
      <c r="J62" t="s">
        <v>22</v>
      </c>
      <c r="K62">
        <f>F62*G62</f>
        <v>7502</v>
      </c>
      <c r="L62" t="str">
        <f>_xlfn.IFS(D62&lt;20,"Below 20",D62&lt;=30,"20-30",D62&lt;=40,"31-40",D62&lt;=50,"41-50",D62&lt;=60,"51-60",TRUE,"60+")</f>
        <v>60+</v>
      </c>
      <c r="M62" t="str">
        <f>_xlfn.IFS(K62&lt;500,"Low Spend",K62&lt;=2000,"Medium Spend",K62&lt;=5000,"High Spend",TRUE,"Premium Spend")</f>
        <v>Premium Spend</v>
      </c>
      <c r="N62" t="str">
        <f>_xlfn.IFS(F62=1,"1 Item",F62&lt;=3,"2-3 Items",F62&lt;=5,"4-5 Items",TRUE,"6+ Items")</f>
        <v>4-5 Items</v>
      </c>
      <c r="O62" t="str">
        <f>TEXT(I62,"mmm")</f>
        <v>Jun</v>
      </c>
      <c r="P62">
        <f>MONTH(I62)</f>
        <v>6</v>
      </c>
      <c r="Q62">
        <f>YEAR(I62)</f>
        <v>2022</v>
      </c>
      <c r="R62" t="str">
        <f>IF(K62&gt;=5000,"High Value","Regular")</f>
        <v>High Value</v>
      </c>
      <c r="S62" t="str">
        <f>IF(F62&gt;=4,"Bulk Order","Normal Order")</f>
        <v>Bulk Order</v>
      </c>
    </row>
    <row r="63" spans="1:19" x14ac:dyDescent="0.3">
      <c r="A63" t="s">
        <v>898</v>
      </c>
      <c r="B63" t="s">
        <v>897</v>
      </c>
      <c r="C63" t="s">
        <v>3</v>
      </c>
      <c r="D63">
        <v>33</v>
      </c>
      <c r="E63" t="s">
        <v>8</v>
      </c>
      <c r="F63">
        <v>1</v>
      </c>
      <c r="G63">
        <v>300.08</v>
      </c>
      <c r="H63" t="s">
        <v>7</v>
      </c>
      <c r="I63" s="1">
        <v>44526</v>
      </c>
      <c r="J63" t="s">
        <v>28</v>
      </c>
      <c r="K63">
        <f>F63*G63</f>
        <v>300.08</v>
      </c>
      <c r="L63" t="str">
        <f>_xlfn.IFS(D63&lt;20,"Below 20",D63&lt;=30,"20-30",D63&lt;=40,"31-40",D63&lt;=50,"41-50",D63&lt;=60,"51-60",TRUE,"60+")</f>
        <v>31-40</v>
      </c>
      <c r="M63" t="str">
        <f>_xlfn.IFS(K63&lt;500,"Low Spend",K63&lt;=2000,"Medium Spend",K63&lt;=5000,"High Spend",TRUE,"Premium Spend")</f>
        <v>Low Spend</v>
      </c>
      <c r="N63" t="str">
        <f>_xlfn.IFS(F63=1,"1 Item",F63&lt;=3,"2-3 Items",F63&lt;=5,"4-5 Items",TRUE,"6+ Items")</f>
        <v>1 Item</v>
      </c>
      <c r="O63" t="str">
        <f>TEXT(I63,"mmm")</f>
        <v>Nov</v>
      </c>
      <c r="P63">
        <f>MONTH(I63)</f>
        <v>11</v>
      </c>
      <c r="Q63">
        <f>YEAR(I63)</f>
        <v>2021</v>
      </c>
      <c r="R63" t="str">
        <f>IF(K63&gt;=5000,"High Value","Regular")</f>
        <v>Regular</v>
      </c>
      <c r="S63" t="str">
        <f>IF(F63&gt;=4,"Bulk Order","Normal Order")</f>
        <v>Normal Order</v>
      </c>
    </row>
    <row r="64" spans="1:19" x14ac:dyDescent="0.3">
      <c r="A64" t="s">
        <v>896</v>
      </c>
      <c r="B64" t="s">
        <v>895</v>
      </c>
      <c r="C64" t="s">
        <v>3</v>
      </c>
      <c r="D64">
        <v>33</v>
      </c>
      <c r="E64" t="s">
        <v>8</v>
      </c>
      <c r="F64">
        <v>4</v>
      </c>
      <c r="G64">
        <v>1200.32</v>
      </c>
      <c r="H64" t="s">
        <v>1</v>
      </c>
      <c r="I64" s="1">
        <v>44232</v>
      </c>
      <c r="J64" t="s">
        <v>28</v>
      </c>
      <c r="K64">
        <f>F64*G64</f>
        <v>4801.28</v>
      </c>
      <c r="L64" t="str">
        <f>_xlfn.IFS(D64&lt;20,"Below 20",D64&lt;=30,"20-30",D64&lt;=40,"31-40",D64&lt;=50,"41-50",D64&lt;=60,"51-60",TRUE,"60+")</f>
        <v>31-40</v>
      </c>
      <c r="M64" t="str">
        <f>_xlfn.IFS(K64&lt;500,"Low Spend",K64&lt;=2000,"Medium Spend",K64&lt;=5000,"High Spend",TRUE,"Premium Spend")</f>
        <v>High Spend</v>
      </c>
      <c r="N64" t="str">
        <f>_xlfn.IFS(F64=1,"1 Item",F64&lt;=3,"2-3 Items",F64&lt;=5,"4-5 Items",TRUE,"6+ Items")</f>
        <v>4-5 Items</v>
      </c>
      <c r="O64" t="str">
        <f>TEXT(I64,"mmm")</f>
        <v>Feb</v>
      </c>
      <c r="P64">
        <f>MONTH(I64)</f>
        <v>2</v>
      </c>
      <c r="Q64">
        <f>YEAR(I64)</f>
        <v>2021</v>
      </c>
      <c r="R64" t="str">
        <f>IF(K64&gt;=5000,"High Value","Regular")</f>
        <v>Regular</v>
      </c>
      <c r="S64" t="str">
        <f>IF(F64&gt;=4,"Bulk Order","Normal Order")</f>
        <v>Bulk Order</v>
      </c>
    </row>
    <row r="65" spans="1:19" x14ac:dyDescent="0.3">
      <c r="A65" t="s">
        <v>894</v>
      </c>
      <c r="B65" t="s">
        <v>893</v>
      </c>
      <c r="C65" t="s">
        <v>12</v>
      </c>
      <c r="D65">
        <v>66</v>
      </c>
      <c r="E65" t="s">
        <v>8</v>
      </c>
      <c r="F65">
        <v>4</v>
      </c>
      <c r="G65">
        <v>1200.32</v>
      </c>
      <c r="H65" t="s">
        <v>15</v>
      </c>
      <c r="I65" s="1">
        <v>44626</v>
      </c>
      <c r="J65" t="s">
        <v>22</v>
      </c>
      <c r="K65">
        <f>F65*G65</f>
        <v>4801.28</v>
      </c>
      <c r="L65" t="str">
        <f>_xlfn.IFS(D65&lt;20,"Below 20",D65&lt;=30,"20-30",D65&lt;=40,"31-40",D65&lt;=50,"41-50",D65&lt;=60,"51-60",TRUE,"60+")</f>
        <v>60+</v>
      </c>
      <c r="M65" t="str">
        <f>_xlfn.IFS(K65&lt;500,"Low Spend",K65&lt;=2000,"Medium Spend",K65&lt;=5000,"High Spend",TRUE,"Premium Spend")</f>
        <v>High Spend</v>
      </c>
      <c r="N65" t="str">
        <f>_xlfn.IFS(F65=1,"1 Item",F65&lt;=3,"2-3 Items",F65&lt;=5,"4-5 Items",TRUE,"6+ Items")</f>
        <v>4-5 Items</v>
      </c>
      <c r="O65" t="str">
        <f>TEXT(I65,"mmm")</f>
        <v>Mar</v>
      </c>
      <c r="P65">
        <f>MONTH(I65)</f>
        <v>3</v>
      </c>
      <c r="Q65">
        <f>YEAR(I65)</f>
        <v>2022</v>
      </c>
      <c r="R65" t="str">
        <f>IF(K65&gt;=5000,"High Value","Regular")</f>
        <v>Regular</v>
      </c>
      <c r="S65" t="str">
        <f>IF(F65&gt;=4,"Bulk Order","Normal Order")</f>
        <v>Bulk Order</v>
      </c>
    </row>
    <row r="66" spans="1:19" x14ac:dyDescent="0.3">
      <c r="A66" t="s">
        <v>892</v>
      </c>
      <c r="B66" t="s">
        <v>891</v>
      </c>
      <c r="C66" t="s">
        <v>3</v>
      </c>
      <c r="D66">
        <v>29</v>
      </c>
      <c r="E66" t="s">
        <v>19</v>
      </c>
      <c r="F66">
        <v>4</v>
      </c>
      <c r="G66">
        <v>162.63999999999999</v>
      </c>
      <c r="H66" t="s">
        <v>7</v>
      </c>
      <c r="I66" s="1">
        <v>44690</v>
      </c>
      <c r="J66" t="s">
        <v>68</v>
      </c>
      <c r="K66">
        <f>F66*G66</f>
        <v>650.55999999999995</v>
      </c>
      <c r="L66" t="str">
        <f>_xlfn.IFS(D66&lt;20,"Below 20",D66&lt;=30,"20-30",D66&lt;=40,"31-40",D66&lt;=50,"41-50",D66&lt;=60,"51-60",TRUE,"60+")</f>
        <v>20-30</v>
      </c>
      <c r="M66" t="str">
        <f>_xlfn.IFS(K66&lt;500,"Low Spend",K66&lt;=2000,"Medium Spend",K66&lt;=5000,"High Spend",TRUE,"Premium Spend")</f>
        <v>Medium Spend</v>
      </c>
      <c r="N66" t="str">
        <f>_xlfn.IFS(F66=1,"1 Item",F66&lt;=3,"2-3 Items",F66&lt;=5,"4-5 Items",TRUE,"6+ Items")</f>
        <v>4-5 Items</v>
      </c>
      <c r="O66" t="str">
        <f>TEXT(I66,"mmm")</f>
        <v>May</v>
      </c>
      <c r="P66">
        <f>MONTH(I66)</f>
        <v>5</v>
      </c>
      <c r="Q66">
        <f>YEAR(I66)</f>
        <v>2022</v>
      </c>
      <c r="R66" t="str">
        <f>IF(K66&gt;=5000,"High Value","Regular")</f>
        <v>Regular</v>
      </c>
      <c r="S66" t="str">
        <f>IF(F66&gt;=4,"Bulk Order","Normal Order")</f>
        <v>Bulk Order</v>
      </c>
    </row>
    <row r="67" spans="1:19" x14ac:dyDescent="0.3">
      <c r="A67" t="s">
        <v>890</v>
      </c>
      <c r="B67" t="s">
        <v>889</v>
      </c>
      <c r="C67" t="s">
        <v>12</v>
      </c>
      <c r="D67">
        <v>22</v>
      </c>
      <c r="E67" t="s">
        <v>2</v>
      </c>
      <c r="F67">
        <v>3</v>
      </c>
      <c r="G67">
        <v>107.52</v>
      </c>
      <c r="H67" t="s">
        <v>15</v>
      </c>
      <c r="I67" s="1">
        <v>44851</v>
      </c>
      <c r="J67" t="s">
        <v>22</v>
      </c>
      <c r="K67">
        <f>F67*G67</f>
        <v>322.56</v>
      </c>
      <c r="L67" t="str">
        <f>_xlfn.IFS(D67&lt;20,"Below 20",D67&lt;=30,"20-30",D67&lt;=40,"31-40",D67&lt;=50,"41-50",D67&lt;=60,"51-60",TRUE,"60+")</f>
        <v>20-30</v>
      </c>
      <c r="M67" t="str">
        <f>_xlfn.IFS(K67&lt;500,"Low Spend",K67&lt;=2000,"Medium Spend",K67&lt;=5000,"High Spend",TRUE,"Premium Spend")</f>
        <v>Low Spend</v>
      </c>
      <c r="N67" t="str">
        <f>_xlfn.IFS(F67=1,"1 Item",F67&lt;=3,"2-3 Items",F67&lt;=5,"4-5 Items",TRUE,"6+ Items")</f>
        <v>2-3 Items</v>
      </c>
      <c r="O67" t="str">
        <f>TEXT(I67,"mmm")</f>
        <v>Oct</v>
      </c>
      <c r="P67">
        <f>MONTH(I67)</f>
        <v>10</v>
      </c>
      <c r="Q67">
        <f>YEAR(I67)</f>
        <v>2022</v>
      </c>
      <c r="R67" t="str">
        <f>IF(K67&gt;=5000,"High Value","Regular")</f>
        <v>Regular</v>
      </c>
      <c r="S67" t="str">
        <f>IF(F67&gt;=4,"Bulk Order","Normal Order")</f>
        <v>Normal Order</v>
      </c>
    </row>
    <row r="68" spans="1:19" x14ac:dyDescent="0.3">
      <c r="A68" t="s">
        <v>888</v>
      </c>
      <c r="B68" t="s">
        <v>887</v>
      </c>
      <c r="C68" t="s">
        <v>3</v>
      </c>
      <c r="D68">
        <v>63</v>
      </c>
      <c r="E68" t="s">
        <v>16</v>
      </c>
      <c r="F68">
        <v>3</v>
      </c>
      <c r="G68">
        <v>15.69</v>
      </c>
      <c r="H68" t="s">
        <v>15</v>
      </c>
      <c r="I68" s="1">
        <v>44583</v>
      </c>
      <c r="J68" t="s">
        <v>102</v>
      </c>
      <c r="K68">
        <f>F68*G68</f>
        <v>47.07</v>
      </c>
      <c r="L68" t="str">
        <f>_xlfn.IFS(D68&lt;20,"Below 20",D68&lt;=30,"20-30",D68&lt;=40,"31-40",D68&lt;=50,"41-50",D68&lt;=60,"51-60",TRUE,"60+")</f>
        <v>60+</v>
      </c>
      <c r="M68" t="str">
        <f>_xlfn.IFS(K68&lt;500,"Low Spend",K68&lt;=2000,"Medium Spend",K68&lt;=5000,"High Spend",TRUE,"Premium Spend")</f>
        <v>Low Spend</v>
      </c>
      <c r="N68" t="str">
        <f>_xlfn.IFS(F68=1,"1 Item",F68&lt;=3,"2-3 Items",F68&lt;=5,"4-5 Items",TRUE,"6+ Items")</f>
        <v>2-3 Items</v>
      </c>
      <c r="O68" t="str">
        <f>TEXT(I68,"mmm")</f>
        <v>Jan</v>
      </c>
      <c r="P68">
        <f>MONTH(I68)</f>
        <v>1</v>
      </c>
      <c r="Q68">
        <f>YEAR(I68)</f>
        <v>2022</v>
      </c>
      <c r="R68" t="str">
        <f>IF(K68&gt;=5000,"High Value","Regular")</f>
        <v>Regular</v>
      </c>
      <c r="S68" t="str">
        <f>IF(F68&gt;=4,"Bulk Order","Normal Order")</f>
        <v>Normal Order</v>
      </c>
    </row>
    <row r="69" spans="1:19" x14ac:dyDescent="0.3">
      <c r="A69" t="s">
        <v>886</v>
      </c>
      <c r="B69" t="s">
        <v>885</v>
      </c>
      <c r="C69" t="s">
        <v>3</v>
      </c>
      <c r="D69">
        <v>24</v>
      </c>
      <c r="E69" t="s">
        <v>23</v>
      </c>
      <c r="F69">
        <v>5</v>
      </c>
      <c r="G69">
        <v>58.65</v>
      </c>
      <c r="H69" t="s">
        <v>7</v>
      </c>
      <c r="I69" s="1">
        <v>44269</v>
      </c>
      <c r="J69" t="s">
        <v>0</v>
      </c>
      <c r="K69">
        <f>F69*G69</f>
        <v>293.25</v>
      </c>
      <c r="L69" t="str">
        <f>_xlfn.IFS(D69&lt;20,"Below 20",D69&lt;=30,"20-30",D69&lt;=40,"31-40",D69&lt;=50,"41-50",D69&lt;=60,"51-60",TRUE,"60+")</f>
        <v>20-30</v>
      </c>
      <c r="M69" t="str">
        <f>_xlfn.IFS(K69&lt;500,"Low Spend",K69&lt;=2000,"Medium Spend",K69&lt;=5000,"High Spend",TRUE,"Premium Spend")</f>
        <v>Low Spend</v>
      </c>
      <c r="N69" t="str">
        <f>_xlfn.IFS(F69=1,"1 Item",F69&lt;=3,"2-3 Items",F69&lt;=5,"4-5 Items",TRUE,"6+ Items")</f>
        <v>4-5 Items</v>
      </c>
      <c r="O69" t="str">
        <f>TEXT(I69,"mmm")</f>
        <v>Mar</v>
      </c>
      <c r="P69">
        <f>MONTH(I69)</f>
        <v>3</v>
      </c>
      <c r="Q69">
        <f>YEAR(I69)</f>
        <v>2021</v>
      </c>
      <c r="R69" t="str">
        <f>IF(K69&gt;=5000,"High Value","Regular")</f>
        <v>Regular</v>
      </c>
      <c r="S69" t="str">
        <f>IF(F69&gt;=4,"Bulk Order","Normal Order")</f>
        <v>Bulk Order</v>
      </c>
    </row>
    <row r="70" spans="1:19" x14ac:dyDescent="0.3">
      <c r="A70" t="s">
        <v>884</v>
      </c>
      <c r="B70" t="s">
        <v>883</v>
      </c>
      <c r="C70" t="s">
        <v>3</v>
      </c>
      <c r="D70">
        <v>24</v>
      </c>
      <c r="E70" t="s">
        <v>19</v>
      </c>
      <c r="F70">
        <v>5</v>
      </c>
      <c r="G70">
        <v>203.3</v>
      </c>
      <c r="H70" t="s">
        <v>15</v>
      </c>
      <c r="I70" s="1">
        <v>44678</v>
      </c>
      <c r="J70" t="s">
        <v>11</v>
      </c>
      <c r="K70">
        <f>F70*G70</f>
        <v>1016.5</v>
      </c>
      <c r="L70" t="str">
        <f>_xlfn.IFS(D70&lt;20,"Below 20",D70&lt;=30,"20-30",D70&lt;=40,"31-40",D70&lt;=50,"41-50",D70&lt;=60,"51-60",TRUE,"60+")</f>
        <v>20-30</v>
      </c>
      <c r="M70" t="str">
        <f>_xlfn.IFS(K70&lt;500,"Low Spend",K70&lt;=2000,"Medium Spend",K70&lt;=5000,"High Spend",TRUE,"Premium Spend")</f>
        <v>Medium Spend</v>
      </c>
      <c r="N70" t="str">
        <f>_xlfn.IFS(F70=1,"1 Item",F70&lt;=3,"2-3 Items",F70&lt;=5,"4-5 Items",TRUE,"6+ Items")</f>
        <v>4-5 Items</v>
      </c>
      <c r="O70" t="str">
        <f>TEXT(I70,"mmm")</f>
        <v>Apr</v>
      </c>
      <c r="P70">
        <f>MONTH(I70)</f>
        <v>4</v>
      </c>
      <c r="Q70">
        <f>YEAR(I70)</f>
        <v>2022</v>
      </c>
      <c r="R70" t="str">
        <f>IF(K70&gt;=5000,"High Value","Regular")</f>
        <v>Regular</v>
      </c>
      <c r="S70" t="str">
        <f>IF(F70&gt;=4,"Bulk Order","Normal Order")</f>
        <v>Bulk Order</v>
      </c>
    </row>
    <row r="71" spans="1:19" x14ac:dyDescent="0.3">
      <c r="A71" t="s">
        <v>882</v>
      </c>
      <c r="B71" t="s">
        <v>881</v>
      </c>
      <c r="C71" t="s">
        <v>3</v>
      </c>
      <c r="D71">
        <v>44</v>
      </c>
      <c r="E71" t="s">
        <v>112</v>
      </c>
      <c r="F71">
        <v>5</v>
      </c>
      <c r="G71">
        <v>5250</v>
      </c>
      <c r="H71" t="s">
        <v>1</v>
      </c>
      <c r="I71" s="1">
        <v>44519</v>
      </c>
      <c r="J71" t="s">
        <v>22</v>
      </c>
      <c r="K71">
        <f>F71*G71</f>
        <v>26250</v>
      </c>
      <c r="L71" t="str">
        <f>_xlfn.IFS(D71&lt;20,"Below 20",D71&lt;=30,"20-30",D71&lt;=40,"31-40",D71&lt;=50,"41-50",D71&lt;=60,"51-60",TRUE,"60+")</f>
        <v>41-50</v>
      </c>
      <c r="M71" t="str">
        <f>_xlfn.IFS(K71&lt;500,"Low Spend",K71&lt;=2000,"Medium Spend",K71&lt;=5000,"High Spend",TRUE,"Premium Spend")</f>
        <v>Premium Spend</v>
      </c>
      <c r="N71" t="str">
        <f>_xlfn.IFS(F71=1,"1 Item",F71&lt;=3,"2-3 Items",F71&lt;=5,"4-5 Items",TRUE,"6+ Items")</f>
        <v>4-5 Items</v>
      </c>
      <c r="O71" t="str">
        <f>TEXT(I71,"mmm")</f>
        <v>Nov</v>
      </c>
      <c r="P71">
        <f>MONTH(I71)</f>
        <v>11</v>
      </c>
      <c r="Q71">
        <f>YEAR(I71)</f>
        <v>2021</v>
      </c>
      <c r="R71" t="str">
        <f>IF(K71&gt;=5000,"High Value","Regular")</f>
        <v>High Value</v>
      </c>
      <c r="S71" t="str">
        <f>IF(F71&gt;=4,"Bulk Order","Normal Order")</f>
        <v>Bulk Order</v>
      </c>
    </row>
    <row r="72" spans="1:19" x14ac:dyDescent="0.3">
      <c r="A72" t="s">
        <v>880</v>
      </c>
      <c r="B72" t="s">
        <v>879</v>
      </c>
      <c r="C72" t="s">
        <v>12</v>
      </c>
      <c r="D72">
        <v>34</v>
      </c>
      <c r="E72" t="s">
        <v>31</v>
      </c>
      <c r="F72">
        <v>5</v>
      </c>
      <c r="G72">
        <v>3000.85</v>
      </c>
      <c r="H72" t="s">
        <v>15</v>
      </c>
      <c r="I72" s="1">
        <v>44814</v>
      </c>
      <c r="J72" t="s">
        <v>97</v>
      </c>
      <c r="K72">
        <f>F72*G72</f>
        <v>15004.25</v>
      </c>
      <c r="L72" t="str">
        <f>_xlfn.IFS(D72&lt;20,"Below 20",D72&lt;=30,"20-30",D72&lt;=40,"31-40",D72&lt;=50,"41-50",D72&lt;=60,"51-60",TRUE,"60+")</f>
        <v>31-40</v>
      </c>
      <c r="M72" t="str">
        <f>_xlfn.IFS(K72&lt;500,"Low Spend",K72&lt;=2000,"Medium Spend",K72&lt;=5000,"High Spend",TRUE,"Premium Spend")</f>
        <v>Premium Spend</v>
      </c>
      <c r="N72" t="str">
        <f>_xlfn.IFS(F72=1,"1 Item",F72&lt;=3,"2-3 Items",F72&lt;=5,"4-5 Items",TRUE,"6+ Items")</f>
        <v>4-5 Items</v>
      </c>
      <c r="O72" t="str">
        <f>TEXT(I72,"mmm")</f>
        <v>Sep</v>
      </c>
      <c r="P72">
        <f>MONTH(I72)</f>
        <v>9</v>
      </c>
      <c r="Q72">
        <f>YEAR(I72)</f>
        <v>2022</v>
      </c>
      <c r="R72" t="str">
        <f>IF(K72&gt;=5000,"High Value","Regular")</f>
        <v>High Value</v>
      </c>
      <c r="S72" t="str">
        <f>IF(F72&gt;=4,"Bulk Order","Normal Order")</f>
        <v>Bulk Order</v>
      </c>
    </row>
    <row r="73" spans="1:19" x14ac:dyDescent="0.3">
      <c r="A73" t="s">
        <v>878</v>
      </c>
      <c r="B73" t="s">
        <v>877</v>
      </c>
      <c r="C73" t="s">
        <v>3</v>
      </c>
      <c r="D73">
        <v>47</v>
      </c>
      <c r="E73" t="s">
        <v>19</v>
      </c>
      <c r="F73">
        <v>4</v>
      </c>
      <c r="G73">
        <v>162.63999999999999</v>
      </c>
      <c r="H73" t="s">
        <v>15</v>
      </c>
      <c r="I73" s="1">
        <v>44443</v>
      </c>
      <c r="J73" t="s">
        <v>28</v>
      </c>
      <c r="K73">
        <f>F73*G73</f>
        <v>650.55999999999995</v>
      </c>
      <c r="L73" t="str">
        <f>_xlfn.IFS(D73&lt;20,"Below 20",D73&lt;=30,"20-30",D73&lt;=40,"31-40",D73&lt;=50,"41-50",D73&lt;=60,"51-60",TRUE,"60+")</f>
        <v>41-50</v>
      </c>
      <c r="M73" t="str">
        <f>_xlfn.IFS(K73&lt;500,"Low Spend",K73&lt;=2000,"Medium Spend",K73&lt;=5000,"High Spend",TRUE,"Premium Spend")</f>
        <v>Medium Spend</v>
      </c>
      <c r="N73" t="str">
        <f>_xlfn.IFS(F73=1,"1 Item",F73&lt;=3,"2-3 Items",F73&lt;=5,"4-5 Items",TRUE,"6+ Items")</f>
        <v>4-5 Items</v>
      </c>
      <c r="O73" t="str">
        <f>TEXT(I73,"mmm")</f>
        <v>Sep</v>
      </c>
      <c r="P73">
        <f>MONTH(I73)</f>
        <v>9</v>
      </c>
      <c r="Q73">
        <f>YEAR(I73)</f>
        <v>2021</v>
      </c>
      <c r="R73" t="str">
        <f>IF(K73&gt;=5000,"High Value","Regular")</f>
        <v>Regular</v>
      </c>
      <c r="S73" t="str">
        <f>IF(F73&gt;=4,"Bulk Order","Normal Order")</f>
        <v>Bulk Order</v>
      </c>
    </row>
    <row r="74" spans="1:19" x14ac:dyDescent="0.3">
      <c r="A74" t="s">
        <v>876</v>
      </c>
      <c r="B74" t="s">
        <v>875</v>
      </c>
      <c r="C74" t="s">
        <v>12</v>
      </c>
      <c r="D74">
        <v>38</v>
      </c>
      <c r="E74" t="s">
        <v>16</v>
      </c>
      <c r="F74">
        <v>5</v>
      </c>
      <c r="G74">
        <v>26.15</v>
      </c>
      <c r="H74" t="s">
        <v>15</v>
      </c>
      <c r="I74" s="1">
        <v>44794</v>
      </c>
      <c r="J74" t="s">
        <v>22</v>
      </c>
      <c r="K74">
        <f>F74*G74</f>
        <v>130.75</v>
      </c>
      <c r="L74" t="str">
        <f>_xlfn.IFS(D74&lt;20,"Below 20",D74&lt;=30,"20-30",D74&lt;=40,"31-40",D74&lt;=50,"41-50",D74&lt;=60,"51-60",TRUE,"60+")</f>
        <v>31-40</v>
      </c>
      <c r="M74" t="str">
        <f>_xlfn.IFS(K74&lt;500,"Low Spend",K74&lt;=2000,"Medium Spend",K74&lt;=5000,"High Spend",TRUE,"Premium Spend")</f>
        <v>Low Spend</v>
      </c>
      <c r="N74" t="str">
        <f>_xlfn.IFS(F74=1,"1 Item",F74&lt;=3,"2-3 Items",F74&lt;=5,"4-5 Items",TRUE,"6+ Items")</f>
        <v>4-5 Items</v>
      </c>
      <c r="O74" t="str">
        <f>TEXT(I74,"mmm")</f>
        <v>Aug</v>
      </c>
      <c r="P74">
        <f>MONTH(I74)</f>
        <v>8</v>
      </c>
      <c r="Q74">
        <f>YEAR(I74)</f>
        <v>2022</v>
      </c>
      <c r="R74" t="str">
        <f>IF(K74&gt;=5000,"High Value","Regular")</f>
        <v>Regular</v>
      </c>
      <c r="S74" t="str">
        <f>IF(F74&gt;=4,"Bulk Order","Normal Order")</f>
        <v>Bulk Order</v>
      </c>
    </row>
    <row r="75" spans="1:19" x14ac:dyDescent="0.3">
      <c r="A75" t="s">
        <v>874</v>
      </c>
      <c r="B75" t="s">
        <v>873</v>
      </c>
      <c r="C75" t="s">
        <v>3</v>
      </c>
      <c r="D75">
        <v>57</v>
      </c>
      <c r="E75" t="s">
        <v>31</v>
      </c>
      <c r="F75">
        <v>5</v>
      </c>
      <c r="G75">
        <v>3000.85</v>
      </c>
      <c r="H75" t="s">
        <v>7</v>
      </c>
      <c r="I75" s="1">
        <v>44471</v>
      </c>
      <c r="J75" t="s">
        <v>38</v>
      </c>
      <c r="K75">
        <f>F75*G75</f>
        <v>15004.25</v>
      </c>
      <c r="L75" t="str">
        <f>_xlfn.IFS(D75&lt;20,"Below 20",D75&lt;=30,"20-30",D75&lt;=40,"31-40",D75&lt;=50,"41-50",D75&lt;=60,"51-60",TRUE,"60+")</f>
        <v>51-60</v>
      </c>
      <c r="M75" t="str">
        <f>_xlfn.IFS(K75&lt;500,"Low Spend",K75&lt;=2000,"Medium Spend",K75&lt;=5000,"High Spend",TRUE,"Premium Spend")</f>
        <v>Premium Spend</v>
      </c>
      <c r="N75" t="str">
        <f>_xlfn.IFS(F75=1,"1 Item",F75&lt;=3,"2-3 Items",F75&lt;=5,"4-5 Items",TRUE,"6+ Items")</f>
        <v>4-5 Items</v>
      </c>
      <c r="O75" t="str">
        <f>TEXT(I75,"mmm")</f>
        <v>Oct</v>
      </c>
      <c r="P75">
        <f>MONTH(I75)</f>
        <v>10</v>
      </c>
      <c r="Q75">
        <f>YEAR(I75)</f>
        <v>2021</v>
      </c>
      <c r="R75" t="str">
        <f>IF(K75&gt;=5000,"High Value","Regular")</f>
        <v>High Value</v>
      </c>
      <c r="S75" t="str">
        <f>IF(F75&gt;=4,"Bulk Order","Normal Order")</f>
        <v>Bulk Order</v>
      </c>
    </row>
    <row r="76" spans="1:19" x14ac:dyDescent="0.3">
      <c r="A76" t="s">
        <v>872</v>
      </c>
      <c r="B76" t="s">
        <v>871</v>
      </c>
      <c r="C76" t="s">
        <v>12</v>
      </c>
      <c r="D76">
        <v>67</v>
      </c>
      <c r="E76" t="s">
        <v>2</v>
      </c>
      <c r="F76">
        <v>3</v>
      </c>
      <c r="G76">
        <v>107.52</v>
      </c>
      <c r="H76" t="s">
        <v>15</v>
      </c>
      <c r="I76" s="1">
        <v>44933</v>
      </c>
      <c r="J76" t="s">
        <v>38</v>
      </c>
      <c r="K76">
        <f>F76*G76</f>
        <v>322.56</v>
      </c>
      <c r="L76" t="str">
        <f>_xlfn.IFS(D76&lt;20,"Below 20",D76&lt;=30,"20-30",D76&lt;=40,"31-40",D76&lt;=50,"41-50",D76&lt;=60,"51-60",TRUE,"60+")</f>
        <v>60+</v>
      </c>
      <c r="M76" t="str">
        <f>_xlfn.IFS(K76&lt;500,"Low Spend",K76&lt;=2000,"Medium Spend",K76&lt;=5000,"High Spend",TRUE,"Premium Spend")</f>
        <v>Low Spend</v>
      </c>
      <c r="N76" t="str">
        <f>_xlfn.IFS(F76=1,"1 Item",F76&lt;=3,"2-3 Items",F76&lt;=5,"4-5 Items",TRUE,"6+ Items")</f>
        <v>2-3 Items</v>
      </c>
      <c r="O76" t="str">
        <f>TEXT(I76,"mmm")</f>
        <v>Jan</v>
      </c>
      <c r="P76">
        <f>MONTH(I76)</f>
        <v>1</v>
      </c>
      <c r="Q76">
        <f>YEAR(I76)</f>
        <v>2023</v>
      </c>
      <c r="R76" t="str">
        <f>IF(K76&gt;=5000,"High Value","Regular")</f>
        <v>Regular</v>
      </c>
      <c r="S76" t="str">
        <f>IF(F76&gt;=4,"Bulk Order","Normal Order")</f>
        <v>Normal Order</v>
      </c>
    </row>
    <row r="77" spans="1:19" x14ac:dyDescent="0.3">
      <c r="A77" t="s">
        <v>870</v>
      </c>
      <c r="B77" t="s">
        <v>869</v>
      </c>
      <c r="C77" t="s">
        <v>12</v>
      </c>
      <c r="D77">
        <v>41</v>
      </c>
      <c r="E77" t="s">
        <v>23</v>
      </c>
      <c r="F77">
        <v>3</v>
      </c>
      <c r="G77">
        <v>35.19</v>
      </c>
      <c r="H77" t="s">
        <v>1</v>
      </c>
      <c r="I77" s="1">
        <v>44355</v>
      </c>
      <c r="J77" t="s">
        <v>102</v>
      </c>
      <c r="K77">
        <f>F77*G77</f>
        <v>105.57</v>
      </c>
      <c r="L77" t="str">
        <f>_xlfn.IFS(D77&lt;20,"Below 20",D77&lt;=30,"20-30",D77&lt;=40,"31-40",D77&lt;=50,"41-50",D77&lt;=60,"51-60",TRUE,"60+")</f>
        <v>41-50</v>
      </c>
      <c r="M77" t="str">
        <f>_xlfn.IFS(K77&lt;500,"Low Spend",K77&lt;=2000,"Medium Spend",K77&lt;=5000,"High Spend",TRUE,"Premium Spend")</f>
        <v>Low Spend</v>
      </c>
      <c r="N77" t="str">
        <f>_xlfn.IFS(F77=1,"1 Item",F77&lt;=3,"2-3 Items",F77&lt;=5,"4-5 Items",TRUE,"6+ Items")</f>
        <v>2-3 Items</v>
      </c>
      <c r="O77" t="str">
        <f>TEXT(I77,"mmm")</f>
        <v>Jun</v>
      </c>
      <c r="P77">
        <f>MONTH(I77)</f>
        <v>6</v>
      </c>
      <c r="Q77">
        <f>YEAR(I77)</f>
        <v>2021</v>
      </c>
      <c r="R77" t="str">
        <f>IF(K77&gt;=5000,"High Value","Regular")</f>
        <v>Regular</v>
      </c>
      <c r="S77" t="str">
        <f>IF(F77&gt;=4,"Bulk Order","Normal Order")</f>
        <v>Normal Order</v>
      </c>
    </row>
    <row r="78" spans="1:19" x14ac:dyDescent="0.3">
      <c r="A78" t="s">
        <v>868</v>
      </c>
      <c r="B78" t="s">
        <v>867</v>
      </c>
      <c r="C78" t="s">
        <v>3</v>
      </c>
      <c r="D78">
        <v>40</v>
      </c>
      <c r="E78" t="s">
        <v>8</v>
      </c>
      <c r="F78">
        <v>5</v>
      </c>
      <c r="G78">
        <v>1500.4</v>
      </c>
      <c r="H78" t="s">
        <v>7</v>
      </c>
      <c r="I78" s="1">
        <v>44303</v>
      </c>
      <c r="J78" t="s">
        <v>28</v>
      </c>
      <c r="K78">
        <f>F78*G78</f>
        <v>7502</v>
      </c>
      <c r="L78" t="str">
        <f>_xlfn.IFS(D78&lt;20,"Below 20",D78&lt;=30,"20-30",D78&lt;=40,"31-40",D78&lt;=50,"41-50",D78&lt;=60,"51-60",TRUE,"60+")</f>
        <v>31-40</v>
      </c>
      <c r="M78" t="str">
        <f>_xlfn.IFS(K78&lt;500,"Low Spend",K78&lt;=2000,"Medium Spend",K78&lt;=5000,"High Spend",TRUE,"Premium Spend")</f>
        <v>Premium Spend</v>
      </c>
      <c r="N78" t="str">
        <f>_xlfn.IFS(F78=1,"1 Item",F78&lt;=3,"2-3 Items",F78&lt;=5,"4-5 Items",TRUE,"6+ Items")</f>
        <v>4-5 Items</v>
      </c>
      <c r="O78" t="str">
        <f>TEXT(I78,"mmm")</f>
        <v>Apr</v>
      </c>
      <c r="P78">
        <f>MONTH(I78)</f>
        <v>4</v>
      </c>
      <c r="Q78">
        <f>YEAR(I78)</f>
        <v>2021</v>
      </c>
      <c r="R78" t="str">
        <f>IF(K78&gt;=5000,"High Value","Regular")</f>
        <v>High Value</v>
      </c>
      <c r="S78" t="str">
        <f>IF(F78&gt;=4,"Bulk Order","Normal Order")</f>
        <v>Bulk Order</v>
      </c>
    </row>
    <row r="79" spans="1:19" x14ac:dyDescent="0.3">
      <c r="A79" t="s">
        <v>866</v>
      </c>
      <c r="B79" t="s">
        <v>865</v>
      </c>
      <c r="C79" t="s">
        <v>3</v>
      </c>
      <c r="D79">
        <v>69</v>
      </c>
      <c r="E79" t="s">
        <v>31</v>
      </c>
      <c r="F79">
        <v>4</v>
      </c>
      <c r="G79">
        <v>2400.6799999999998</v>
      </c>
      <c r="H79" t="s">
        <v>15</v>
      </c>
      <c r="I79" s="1">
        <v>44443</v>
      </c>
      <c r="J79" t="s">
        <v>11</v>
      </c>
      <c r="K79">
        <f>F79*G79</f>
        <v>9602.7199999999993</v>
      </c>
      <c r="L79" t="str">
        <f>_xlfn.IFS(D79&lt;20,"Below 20",D79&lt;=30,"20-30",D79&lt;=40,"31-40",D79&lt;=50,"41-50",D79&lt;=60,"51-60",TRUE,"60+")</f>
        <v>60+</v>
      </c>
      <c r="M79" t="str">
        <f>_xlfn.IFS(K79&lt;500,"Low Spend",K79&lt;=2000,"Medium Spend",K79&lt;=5000,"High Spend",TRUE,"Premium Spend")</f>
        <v>Premium Spend</v>
      </c>
      <c r="N79" t="str">
        <f>_xlfn.IFS(F79=1,"1 Item",F79&lt;=3,"2-3 Items",F79&lt;=5,"4-5 Items",TRUE,"6+ Items")</f>
        <v>4-5 Items</v>
      </c>
      <c r="O79" t="str">
        <f>TEXT(I79,"mmm")</f>
        <v>Sep</v>
      </c>
      <c r="P79">
        <f>MONTH(I79)</f>
        <v>9</v>
      </c>
      <c r="Q79">
        <f>YEAR(I79)</f>
        <v>2021</v>
      </c>
      <c r="R79" t="str">
        <f>IF(K79&gt;=5000,"High Value","Regular")</f>
        <v>High Value</v>
      </c>
      <c r="S79" t="str">
        <f>IF(F79&gt;=4,"Bulk Order","Normal Order")</f>
        <v>Bulk Order</v>
      </c>
    </row>
    <row r="80" spans="1:19" x14ac:dyDescent="0.3">
      <c r="A80" t="s">
        <v>864</v>
      </c>
      <c r="B80" t="s">
        <v>863</v>
      </c>
      <c r="C80" t="s">
        <v>3</v>
      </c>
      <c r="D80">
        <v>47</v>
      </c>
      <c r="E80" t="s">
        <v>16</v>
      </c>
      <c r="F80">
        <v>5</v>
      </c>
      <c r="G80">
        <v>26.15</v>
      </c>
      <c r="H80" t="s">
        <v>15</v>
      </c>
      <c r="I80" s="1">
        <v>44762</v>
      </c>
      <c r="J80" t="s">
        <v>22</v>
      </c>
      <c r="K80">
        <f>F80*G80</f>
        <v>130.75</v>
      </c>
      <c r="L80" t="str">
        <f>_xlfn.IFS(D80&lt;20,"Below 20",D80&lt;=30,"20-30",D80&lt;=40,"31-40",D80&lt;=50,"41-50",D80&lt;=60,"51-60",TRUE,"60+")</f>
        <v>41-50</v>
      </c>
      <c r="M80" t="str">
        <f>_xlfn.IFS(K80&lt;500,"Low Spend",K80&lt;=2000,"Medium Spend",K80&lt;=5000,"High Spend",TRUE,"Premium Spend")</f>
        <v>Low Spend</v>
      </c>
      <c r="N80" t="str">
        <f>_xlfn.IFS(F80=1,"1 Item",F80&lt;=3,"2-3 Items",F80&lt;=5,"4-5 Items",TRUE,"6+ Items")</f>
        <v>4-5 Items</v>
      </c>
      <c r="O80" t="str">
        <f>TEXT(I80,"mmm")</f>
        <v>Jul</v>
      </c>
      <c r="P80">
        <f>MONTH(I80)</f>
        <v>7</v>
      </c>
      <c r="Q80">
        <f>YEAR(I80)</f>
        <v>2022</v>
      </c>
      <c r="R80" t="str">
        <f>IF(K80&gt;=5000,"High Value","Regular")</f>
        <v>Regular</v>
      </c>
      <c r="S80" t="str">
        <f>IF(F80&gt;=4,"Bulk Order","Normal Order")</f>
        <v>Bulk Order</v>
      </c>
    </row>
    <row r="81" spans="1:19" x14ac:dyDescent="0.3">
      <c r="A81" t="s">
        <v>862</v>
      </c>
      <c r="B81" t="s">
        <v>861</v>
      </c>
      <c r="C81" t="s">
        <v>3</v>
      </c>
      <c r="D81">
        <v>53</v>
      </c>
      <c r="E81" t="s">
        <v>16</v>
      </c>
      <c r="F81">
        <v>4</v>
      </c>
      <c r="G81">
        <v>20.92</v>
      </c>
      <c r="H81" t="s">
        <v>1</v>
      </c>
      <c r="I81" s="1">
        <v>44391</v>
      </c>
      <c r="J81" t="s">
        <v>0</v>
      </c>
      <c r="K81">
        <f>F81*G81</f>
        <v>83.68</v>
      </c>
      <c r="L81" t="str">
        <f>_xlfn.IFS(D81&lt;20,"Below 20",D81&lt;=30,"20-30",D81&lt;=40,"31-40",D81&lt;=50,"41-50",D81&lt;=60,"51-60",TRUE,"60+")</f>
        <v>51-60</v>
      </c>
      <c r="M81" t="str">
        <f>_xlfn.IFS(K81&lt;500,"Low Spend",K81&lt;=2000,"Medium Spend",K81&lt;=5000,"High Spend",TRUE,"Premium Spend")</f>
        <v>Low Spend</v>
      </c>
      <c r="N81" t="str">
        <f>_xlfn.IFS(F81=1,"1 Item",F81&lt;=3,"2-3 Items",F81&lt;=5,"4-5 Items",TRUE,"6+ Items")</f>
        <v>4-5 Items</v>
      </c>
      <c r="O81" t="str">
        <f>TEXT(I81,"mmm")</f>
        <v>Jul</v>
      </c>
      <c r="P81">
        <f>MONTH(I81)</f>
        <v>7</v>
      </c>
      <c r="Q81">
        <f>YEAR(I81)</f>
        <v>2021</v>
      </c>
      <c r="R81" t="str">
        <f>IF(K81&gt;=5000,"High Value","Regular")</f>
        <v>Regular</v>
      </c>
      <c r="S81" t="str">
        <f>IF(F81&gt;=4,"Bulk Order","Normal Order")</f>
        <v>Bulk Order</v>
      </c>
    </row>
    <row r="82" spans="1:19" x14ac:dyDescent="0.3">
      <c r="A82" t="s">
        <v>860</v>
      </c>
      <c r="B82" t="s">
        <v>859</v>
      </c>
      <c r="C82" t="s">
        <v>12</v>
      </c>
      <c r="D82">
        <v>40</v>
      </c>
      <c r="E82" t="s">
        <v>2</v>
      </c>
      <c r="F82">
        <v>2</v>
      </c>
      <c r="G82">
        <v>71.680000000000007</v>
      </c>
      <c r="H82" t="s">
        <v>15</v>
      </c>
      <c r="I82" s="1">
        <v>44866</v>
      </c>
      <c r="J82" t="s">
        <v>38</v>
      </c>
      <c r="K82">
        <f>F82*G82</f>
        <v>143.36000000000001</v>
      </c>
      <c r="L82" t="str">
        <f>_xlfn.IFS(D82&lt;20,"Below 20",D82&lt;=30,"20-30",D82&lt;=40,"31-40",D82&lt;=50,"41-50",D82&lt;=60,"51-60",TRUE,"60+")</f>
        <v>31-40</v>
      </c>
      <c r="M82" t="str">
        <f>_xlfn.IFS(K82&lt;500,"Low Spend",K82&lt;=2000,"Medium Spend",K82&lt;=5000,"High Spend",TRUE,"Premium Spend")</f>
        <v>Low Spend</v>
      </c>
      <c r="N82" t="str">
        <f>_xlfn.IFS(F82=1,"1 Item",F82&lt;=3,"2-3 Items",F82&lt;=5,"4-5 Items",TRUE,"6+ Items")</f>
        <v>2-3 Items</v>
      </c>
      <c r="O82" t="str">
        <f>TEXT(I82,"mmm")</f>
        <v>Nov</v>
      </c>
      <c r="P82">
        <f>MONTH(I82)</f>
        <v>11</v>
      </c>
      <c r="Q82">
        <f>YEAR(I82)</f>
        <v>2022</v>
      </c>
      <c r="R82" t="str">
        <f>IF(K82&gt;=5000,"High Value","Regular")</f>
        <v>Regular</v>
      </c>
      <c r="S82" t="str">
        <f>IF(F82&gt;=4,"Bulk Order","Normal Order")</f>
        <v>Normal Order</v>
      </c>
    </row>
    <row r="83" spans="1:19" x14ac:dyDescent="0.3">
      <c r="A83" t="s">
        <v>858</v>
      </c>
      <c r="B83" t="s">
        <v>857</v>
      </c>
      <c r="C83" t="s">
        <v>12</v>
      </c>
      <c r="D83">
        <v>60</v>
      </c>
      <c r="E83" t="s">
        <v>19</v>
      </c>
      <c r="F83">
        <v>4</v>
      </c>
      <c r="G83">
        <v>162.63999999999999</v>
      </c>
      <c r="H83" t="s">
        <v>1</v>
      </c>
      <c r="I83" s="1">
        <v>44932</v>
      </c>
      <c r="J83" t="s">
        <v>11</v>
      </c>
      <c r="K83">
        <f>F83*G83</f>
        <v>650.55999999999995</v>
      </c>
      <c r="L83" t="str">
        <f>_xlfn.IFS(D83&lt;20,"Below 20",D83&lt;=30,"20-30",D83&lt;=40,"31-40",D83&lt;=50,"41-50",D83&lt;=60,"51-60",TRUE,"60+")</f>
        <v>51-60</v>
      </c>
      <c r="M83" t="str">
        <f>_xlfn.IFS(K83&lt;500,"Low Spend",K83&lt;=2000,"Medium Spend",K83&lt;=5000,"High Spend",TRUE,"Premium Spend")</f>
        <v>Medium Spend</v>
      </c>
      <c r="N83" t="str">
        <f>_xlfn.IFS(F83=1,"1 Item",F83&lt;=3,"2-3 Items",F83&lt;=5,"4-5 Items",TRUE,"6+ Items")</f>
        <v>4-5 Items</v>
      </c>
      <c r="O83" t="str">
        <f>TEXT(I83,"mmm")</f>
        <v>Jan</v>
      </c>
      <c r="P83">
        <f>MONTH(I83)</f>
        <v>1</v>
      </c>
      <c r="Q83">
        <f>YEAR(I83)</f>
        <v>2023</v>
      </c>
      <c r="R83" t="str">
        <f>IF(K83&gt;=5000,"High Value","Regular")</f>
        <v>Regular</v>
      </c>
      <c r="S83" t="str">
        <f>IF(F83&gt;=4,"Bulk Order","Normal Order")</f>
        <v>Bulk Order</v>
      </c>
    </row>
    <row r="84" spans="1:19" x14ac:dyDescent="0.3">
      <c r="A84" t="s">
        <v>856</v>
      </c>
      <c r="B84" t="s">
        <v>855</v>
      </c>
      <c r="C84" t="s">
        <v>12</v>
      </c>
      <c r="D84">
        <v>30</v>
      </c>
      <c r="E84" t="s">
        <v>23</v>
      </c>
      <c r="F84">
        <v>2</v>
      </c>
      <c r="G84">
        <v>23.46</v>
      </c>
      <c r="H84" t="s">
        <v>15</v>
      </c>
      <c r="I84" s="1">
        <v>44280</v>
      </c>
      <c r="J84" t="s">
        <v>28</v>
      </c>
      <c r="K84">
        <f>F84*G84</f>
        <v>46.92</v>
      </c>
      <c r="L84" t="str">
        <f>_xlfn.IFS(D84&lt;20,"Below 20",D84&lt;=30,"20-30",D84&lt;=40,"31-40",D84&lt;=50,"41-50",D84&lt;=60,"51-60",TRUE,"60+")</f>
        <v>20-30</v>
      </c>
      <c r="M84" t="str">
        <f>_xlfn.IFS(K84&lt;500,"Low Spend",K84&lt;=2000,"Medium Spend",K84&lt;=5000,"High Spend",TRUE,"Premium Spend")</f>
        <v>Low Spend</v>
      </c>
      <c r="N84" t="str">
        <f>_xlfn.IFS(F84=1,"1 Item",F84&lt;=3,"2-3 Items",F84&lt;=5,"4-5 Items",TRUE,"6+ Items")</f>
        <v>2-3 Items</v>
      </c>
      <c r="O84" t="str">
        <f>TEXT(I84,"mmm")</f>
        <v>Mar</v>
      </c>
      <c r="P84">
        <f>MONTH(I84)</f>
        <v>3</v>
      </c>
      <c r="Q84">
        <f>YEAR(I84)</f>
        <v>2021</v>
      </c>
      <c r="R84" t="str">
        <f>IF(K84&gt;=5000,"High Value","Regular")</f>
        <v>Regular</v>
      </c>
      <c r="S84" t="str">
        <f>IF(F84&gt;=4,"Bulk Order","Normal Order")</f>
        <v>Normal Order</v>
      </c>
    </row>
    <row r="85" spans="1:19" x14ac:dyDescent="0.3">
      <c r="A85" t="s">
        <v>854</v>
      </c>
      <c r="B85" t="s">
        <v>853</v>
      </c>
      <c r="C85" t="s">
        <v>3</v>
      </c>
      <c r="D85">
        <v>66</v>
      </c>
      <c r="E85" t="s">
        <v>8</v>
      </c>
      <c r="F85">
        <v>2</v>
      </c>
      <c r="G85">
        <v>600.16</v>
      </c>
      <c r="H85" t="s">
        <v>1</v>
      </c>
      <c r="I85" s="1">
        <v>44812</v>
      </c>
      <c r="J85" t="s">
        <v>0</v>
      </c>
      <c r="K85">
        <f>F85*G85</f>
        <v>1200.32</v>
      </c>
      <c r="L85" t="str">
        <f>_xlfn.IFS(D85&lt;20,"Below 20",D85&lt;=30,"20-30",D85&lt;=40,"31-40",D85&lt;=50,"41-50",D85&lt;=60,"51-60",TRUE,"60+")</f>
        <v>60+</v>
      </c>
      <c r="M85" t="str">
        <f>_xlfn.IFS(K85&lt;500,"Low Spend",K85&lt;=2000,"Medium Spend",K85&lt;=5000,"High Spend",TRUE,"Premium Spend")</f>
        <v>Medium Spend</v>
      </c>
      <c r="N85" t="str">
        <f>_xlfn.IFS(F85=1,"1 Item",F85&lt;=3,"2-3 Items",F85&lt;=5,"4-5 Items",TRUE,"6+ Items")</f>
        <v>2-3 Items</v>
      </c>
      <c r="O85" t="str">
        <f>TEXT(I85,"mmm")</f>
        <v>Sep</v>
      </c>
      <c r="P85">
        <f>MONTH(I85)</f>
        <v>9</v>
      </c>
      <c r="Q85">
        <f>YEAR(I85)</f>
        <v>2022</v>
      </c>
      <c r="R85" t="str">
        <f>IF(K85&gt;=5000,"High Value","Regular")</f>
        <v>Regular</v>
      </c>
      <c r="S85" t="str">
        <f>IF(F85&gt;=4,"Bulk Order","Normal Order")</f>
        <v>Normal Order</v>
      </c>
    </row>
    <row r="86" spans="1:19" x14ac:dyDescent="0.3">
      <c r="A86" t="s">
        <v>852</v>
      </c>
      <c r="B86" t="s">
        <v>851</v>
      </c>
      <c r="C86" t="s">
        <v>12</v>
      </c>
      <c r="D86">
        <v>22</v>
      </c>
      <c r="E86" t="s">
        <v>16</v>
      </c>
      <c r="F86">
        <v>1</v>
      </c>
      <c r="G86">
        <v>5.23</v>
      </c>
      <c r="H86" t="s">
        <v>15</v>
      </c>
      <c r="I86" s="1">
        <v>44610</v>
      </c>
      <c r="J86" t="s">
        <v>22</v>
      </c>
      <c r="K86">
        <f>F86*G86</f>
        <v>5.23</v>
      </c>
      <c r="L86" t="str">
        <f>_xlfn.IFS(D86&lt;20,"Below 20",D86&lt;=30,"20-30",D86&lt;=40,"31-40",D86&lt;=50,"41-50",D86&lt;=60,"51-60",TRUE,"60+")</f>
        <v>20-30</v>
      </c>
      <c r="M86" t="str">
        <f>_xlfn.IFS(K86&lt;500,"Low Spend",K86&lt;=2000,"Medium Spend",K86&lt;=5000,"High Spend",TRUE,"Premium Spend")</f>
        <v>Low Spend</v>
      </c>
      <c r="N86" t="str">
        <f>_xlfn.IFS(F86=1,"1 Item",F86&lt;=3,"2-3 Items",F86&lt;=5,"4-5 Items",TRUE,"6+ Items")</f>
        <v>1 Item</v>
      </c>
      <c r="O86" t="str">
        <f>TEXT(I86,"mmm")</f>
        <v>Feb</v>
      </c>
      <c r="P86">
        <f>MONTH(I86)</f>
        <v>2</v>
      </c>
      <c r="Q86">
        <f>YEAR(I86)</f>
        <v>2022</v>
      </c>
      <c r="R86" t="str">
        <f>IF(K86&gt;=5000,"High Value","Regular")</f>
        <v>Regular</v>
      </c>
      <c r="S86" t="str">
        <f>IF(F86&gt;=4,"Bulk Order","Normal Order")</f>
        <v>Normal Order</v>
      </c>
    </row>
    <row r="87" spans="1:19" x14ac:dyDescent="0.3">
      <c r="A87" t="s">
        <v>850</v>
      </c>
      <c r="B87" t="s">
        <v>849</v>
      </c>
      <c r="C87" t="s">
        <v>12</v>
      </c>
      <c r="D87">
        <v>53</v>
      </c>
      <c r="E87" t="s">
        <v>16</v>
      </c>
      <c r="F87">
        <v>2</v>
      </c>
      <c r="G87">
        <v>10.46</v>
      </c>
      <c r="H87" t="s">
        <v>15</v>
      </c>
      <c r="I87" s="1">
        <v>44308</v>
      </c>
      <c r="J87" t="s">
        <v>28</v>
      </c>
      <c r="K87">
        <f>F87*G87</f>
        <v>20.92</v>
      </c>
      <c r="L87" t="str">
        <f>_xlfn.IFS(D87&lt;20,"Below 20",D87&lt;=30,"20-30",D87&lt;=40,"31-40",D87&lt;=50,"41-50",D87&lt;=60,"51-60",TRUE,"60+")</f>
        <v>51-60</v>
      </c>
      <c r="M87" t="str">
        <f>_xlfn.IFS(K87&lt;500,"Low Spend",K87&lt;=2000,"Medium Spend",K87&lt;=5000,"High Spend",TRUE,"Premium Spend")</f>
        <v>Low Spend</v>
      </c>
      <c r="N87" t="str">
        <f>_xlfn.IFS(F87=1,"1 Item",F87&lt;=3,"2-3 Items",F87&lt;=5,"4-5 Items",TRUE,"6+ Items")</f>
        <v>2-3 Items</v>
      </c>
      <c r="O87" t="str">
        <f>TEXT(I87,"mmm")</f>
        <v>Apr</v>
      </c>
      <c r="P87">
        <f>MONTH(I87)</f>
        <v>4</v>
      </c>
      <c r="Q87">
        <f>YEAR(I87)</f>
        <v>2021</v>
      </c>
      <c r="R87" t="str">
        <f>IF(K87&gt;=5000,"High Value","Regular")</f>
        <v>Regular</v>
      </c>
      <c r="S87" t="str">
        <f>IF(F87&gt;=4,"Bulk Order","Normal Order")</f>
        <v>Normal Order</v>
      </c>
    </row>
    <row r="88" spans="1:19" x14ac:dyDescent="0.3">
      <c r="A88" t="s">
        <v>848</v>
      </c>
      <c r="B88" t="s">
        <v>847</v>
      </c>
      <c r="C88" t="s">
        <v>3</v>
      </c>
      <c r="D88">
        <v>52</v>
      </c>
      <c r="E88" t="s">
        <v>8</v>
      </c>
      <c r="F88">
        <v>5</v>
      </c>
      <c r="G88">
        <v>1500.4</v>
      </c>
      <c r="H88" t="s">
        <v>15</v>
      </c>
      <c r="I88" s="1">
        <v>44849</v>
      </c>
      <c r="J88" t="s">
        <v>107</v>
      </c>
      <c r="K88">
        <f>F88*G88</f>
        <v>7502</v>
      </c>
      <c r="L88" t="str">
        <f>_xlfn.IFS(D88&lt;20,"Below 20",D88&lt;=30,"20-30",D88&lt;=40,"31-40",D88&lt;=50,"41-50",D88&lt;=60,"51-60",TRUE,"60+")</f>
        <v>51-60</v>
      </c>
      <c r="M88" t="str">
        <f>_xlfn.IFS(K88&lt;500,"Low Spend",K88&lt;=2000,"Medium Spend",K88&lt;=5000,"High Spend",TRUE,"Premium Spend")</f>
        <v>Premium Spend</v>
      </c>
      <c r="N88" t="str">
        <f>_xlfn.IFS(F88=1,"1 Item",F88&lt;=3,"2-3 Items",F88&lt;=5,"4-5 Items",TRUE,"6+ Items")</f>
        <v>4-5 Items</v>
      </c>
      <c r="O88" t="str">
        <f>TEXT(I88,"mmm")</f>
        <v>Oct</v>
      </c>
      <c r="P88">
        <f>MONTH(I88)</f>
        <v>10</v>
      </c>
      <c r="Q88">
        <f>YEAR(I88)</f>
        <v>2022</v>
      </c>
      <c r="R88" t="str">
        <f>IF(K88&gt;=5000,"High Value","Regular")</f>
        <v>High Value</v>
      </c>
      <c r="S88" t="str">
        <f>IF(F88&gt;=4,"Bulk Order","Normal Order")</f>
        <v>Bulk Order</v>
      </c>
    </row>
    <row r="89" spans="1:19" x14ac:dyDescent="0.3">
      <c r="A89" t="s">
        <v>846</v>
      </c>
      <c r="B89" t="s">
        <v>845</v>
      </c>
      <c r="C89" t="s">
        <v>12</v>
      </c>
      <c r="D89">
        <v>26</v>
      </c>
      <c r="E89" t="s">
        <v>31</v>
      </c>
      <c r="F89">
        <v>5</v>
      </c>
      <c r="G89">
        <v>3000.85</v>
      </c>
      <c r="H89" t="s">
        <v>15</v>
      </c>
      <c r="I89" s="1">
        <v>44658</v>
      </c>
      <c r="J89" t="s">
        <v>22</v>
      </c>
      <c r="K89">
        <f>F89*G89</f>
        <v>15004.25</v>
      </c>
      <c r="L89" t="str">
        <f>_xlfn.IFS(D89&lt;20,"Below 20",D89&lt;=30,"20-30",D89&lt;=40,"31-40",D89&lt;=50,"41-50",D89&lt;=60,"51-60",TRUE,"60+")</f>
        <v>20-30</v>
      </c>
      <c r="M89" t="str">
        <f>_xlfn.IFS(K89&lt;500,"Low Spend",K89&lt;=2000,"Medium Spend",K89&lt;=5000,"High Spend",TRUE,"Premium Spend")</f>
        <v>Premium Spend</v>
      </c>
      <c r="N89" t="str">
        <f>_xlfn.IFS(F89=1,"1 Item",F89&lt;=3,"2-3 Items",F89&lt;=5,"4-5 Items",TRUE,"6+ Items")</f>
        <v>4-5 Items</v>
      </c>
      <c r="O89" t="str">
        <f>TEXT(I89,"mmm")</f>
        <v>Apr</v>
      </c>
      <c r="P89">
        <f>MONTH(I89)</f>
        <v>4</v>
      </c>
      <c r="Q89">
        <f>YEAR(I89)</f>
        <v>2022</v>
      </c>
      <c r="R89" t="str">
        <f>IF(K89&gt;=5000,"High Value","Regular")</f>
        <v>High Value</v>
      </c>
      <c r="S89" t="str">
        <f>IF(F89&gt;=4,"Bulk Order","Normal Order")</f>
        <v>Bulk Order</v>
      </c>
    </row>
    <row r="90" spans="1:19" x14ac:dyDescent="0.3">
      <c r="A90" t="s">
        <v>844</v>
      </c>
      <c r="B90" t="s">
        <v>843</v>
      </c>
      <c r="C90" t="s">
        <v>12</v>
      </c>
      <c r="D90">
        <v>66</v>
      </c>
      <c r="E90" t="s">
        <v>16</v>
      </c>
      <c r="F90">
        <v>1</v>
      </c>
      <c r="G90">
        <v>5.23</v>
      </c>
      <c r="H90" t="s">
        <v>15</v>
      </c>
      <c r="I90" s="1">
        <v>44719</v>
      </c>
      <c r="J90" t="s">
        <v>22</v>
      </c>
      <c r="K90">
        <f>F90*G90</f>
        <v>5.23</v>
      </c>
      <c r="L90" t="str">
        <f>_xlfn.IFS(D90&lt;20,"Below 20",D90&lt;=30,"20-30",D90&lt;=40,"31-40",D90&lt;=50,"41-50",D90&lt;=60,"51-60",TRUE,"60+")</f>
        <v>60+</v>
      </c>
      <c r="M90" t="str">
        <f>_xlfn.IFS(K90&lt;500,"Low Spend",K90&lt;=2000,"Medium Spend",K90&lt;=5000,"High Spend",TRUE,"Premium Spend")</f>
        <v>Low Spend</v>
      </c>
      <c r="N90" t="str">
        <f>_xlfn.IFS(F90=1,"1 Item",F90&lt;=3,"2-3 Items",F90&lt;=5,"4-5 Items",TRUE,"6+ Items")</f>
        <v>1 Item</v>
      </c>
      <c r="O90" t="str">
        <f>TEXT(I90,"mmm")</f>
        <v>Jun</v>
      </c>
      <c r="P90">
        <f>MONTH(I90)</f>
        <v>6</v>
      </c>
      <c r="Q90">
        <f>YEAR(I90)</f>
        <v>2022</v>
      </c>
      <c r="R90" t="str">
        <f>IF(K90&gt;=5000,"High Value","Regular")</f>
        <v>Regular</v>
      </c>
      <c r="S90" t="str">
        <f>IF(F90&gt;=4,"Bulk Order","Normal Order")</f>
        <v>Normal Order</v>
      </c>
    </row>
    <row r="91" spans="1:19" x14ac:dyDescent="0.3">
      <c r="A91" t="s">
        <v>842</v>
      </c>
      <c r="B91" t="s">
        <v>841</v>
      </c>
      <c r="C91" t="s">
        <v>12</v>
      </c>
      <c r="D91">
        <v>65</v>
      </c>
      <c r="E91" t="s">
        <v>8</v>
      </c>
      <c r="F91">
        <v>4</v>
      </c>
      <c r="G91">
        <v>1200.32</v>
      </c>
      <c r="H91" t="s">
        <v>7</v>
      </c>
      <c r="I91" s="1">
        <v>44948</v>
      </c>
      <c r="J91" t="s">
        <v>68</v>
      </c>
      <c r="K91">
        <f>F91*G91</f>
        <v>4801.28</v>
      </c>
      <c r="L91" t="str">
        <f>_xlfn.IFS(D91&lt;20,"Below 20",D91&lt;=30,"20-30",D91&lt;=40,"31-40",D91&lt;=50,"41-50",D91&lt;=60,"51-60",TRUE,"60+")</f>
        <v>60+</v>
      </c>
      <c r="M91" t="str">
        <f>_xlfn.IFS(K91&lt;500,"Low Spend",K91&lt;=2000,"Medium Spend",K91&lt;=5000,"High Spend",TRUE,"Premium Spend")</f>
        <v>High Spend</v>
      </c>
      <c r="N91" t="str">
        <f>_xlfn.IFS(F91=1,"1 Item",F91&lt;=3,"2-3 Items",F91&lt;=5,"4-5 Items",TRUE,"6+ Items")</f>
        <v>4-5 Items</v>
      </c>
      <c r="O91" t="str">
        <f>TEXT(I91,"mmm")</f>
        <v>Jan</v>
      </c>
      <c r="P91">
        <f>MONTH(I91)</f>
        <v>1</v>
      </c>
      <c r="Q91">
        <f>YEAR(I91)</f>
        <v>2023</v>
      </c>
      <c r="R91" t="str">
        <f>IF(K91&gt;=5000,"High Value","Regular")</f>
        <v>Regular</v>
      </c>
      <c r="S91" t="str">
        <f>IF(F91&gt;=4,"Bulk Order","Normal Order")</f>
        <v>Bulk Order</v>
      </c>
    </row>
    <row r="92" spans="1:19" x14ac:dyDescent="0.3">
      <c r="A92" t="s">
        <v>840</v>
      </c>
      <c r="B92" t="s">
        <v>839</v>
      </c>
      <c r="C92" t="s">
        <v>3</v>
      </c>
      <c r="D92">
        <v>43</v>
      </c>
      <c r="E92" t="s">
        <v>112</v>
      </c>
      <c r="F92">
        <v>2</v>
      </c>
      <c r="G92">
        <v>2100</v>
      </c>
      <c r="H92" t="s">
        <v>15</v>
      </c>
      <c r="I92" s="1">
        <v>44795</v>
      </c>
      <c r="J92" t="s">
        <v>28</v>
      </c>
      <c r="K92">
        <f>F92*G92</f>
        <v>4200</v>
      </c>
      <c r="L92" t="str">
        <f>_xlfn.IFS(D92&lt;20,"Below 20",D92&lt;=30,"20-30",D92&lt;=40,"31-40",D92&lt;=50,"41-50",D92&lt;=60,"51-60",TRUE,"60+")</f>
        <v>41-50</v>
      </c>
      <c r="M92" t="str">
        <f>_xlfn.IFS(K92&lt;500,"Low Spend",K92&lt;=2000,"Medium Spend",K92&lt;=5000,"High Spend",TRUE,"Premium Spend")</f>
        <v>High Spend</v>
      </c>
      <c r="N92" t="str">
        <f>_xlfn.IFS(F92=1,"1 Item",F92&lt;=3,"2-3 Items",F92&lt;=5,"4-5 Items",TRUE,"6+ Items")</f>
        <v>2-3 Items</v>
      </c>
      <c r="O92" t="str">
        <f>TEXT(I92,"mmm")</f>
        <v>Aug</v>
      </c>
      <c r="P92">
        <f>MONTH(I92)</f>
        <v>8</v>
      </c>
      <c r="Q92">
        <f>YEAR(I92)</f>
        <v>2022</v>
      </c>
      <c r="R92" t="str">
        <f>IF(K92&gt;=5000,"High Value","Regular")</f>
        <v>Regular</v>
      </c>
      <c r="S92" t="str">
        <f>IF(F92&gt;=4,"Bulk Order","Normal Order")</f>
        <v>Normal Order</v>
      </c>
    </row>
    <row r="93" spans="1:19" x14ac:dyDescent="0.3">
      <c r="A93" t="s">
        <v>838</v>
      </c>
      <c r="B93" t="s">
        <v>837</v>
      </c>
      <c r="C93" t="s">
        <v>3</v>
      </c>
      <c r="D93">
        <v>59</v>
      </c>
      <c r="E93" t="s">
        <v>2</v>
      </c>
      <c r="F93">
        <v>1</v>
      </c>
      <c r="G93">
        <v>35.840000000000003</v>
      </c>
      <c r="H93" t="s">
        <v>7</v>
      </c>
      <c r="I93" s="1">
        <v>44472</v>
      </c>
      <c r="J93" t="s">
        <v>28</v>
      </c>
      <c r="K93">
        <f>F93*G93</f>
        <v>35.840000000000003</v>
      </c>
      <c r="L93" t="str">
        <f>_xlfn.IFS(D93&lt;20,"Below 20",D93&lt;=30,"20-30",D93&lt;=40,"31-40",D93&lt;=50,"41-50",D93&lt;=60,"51-60",TRUE,"60+")</f>
        <v>51-60</v>
      </c>
      <c r="M93" t="str">
        <f>_xlfn.IFS(K93&lt;500,"Low Spend",K93&lt;=2000,"Medium Spend",K93&lt;=5000,"High Spend",TRUE,"Premium Spend")</f>
        <v>Low Spend</v>
      </c>
      <c r="N93" t="str">
        <f>_xlfn.IFS(F93=1,"1 Item",F93&lt;=3,"2-3 Items",F93&lt;=5,"4-5 Items",TRUE,"6+ Items")</f>
        <v>1 Item</v>
      </c>
      <c r="O93" t="str">
        <f>TEXT(I93,"mmm")</f>
        <v>Oct</v>
      </c>
      <c r="P93">
        <f>MONTH(I93)</f>
        <v>10</v>
      </c>
      <c r="Q93">
        <f>YEAR(I93)</f>
        <v>2021</v>
      </c>
      <c r="R93" t="str">
        <f>IF(K93&gt;=5000,"High Value","Regular")</f>
        <v>Regular</v>
      </c>
      <c r="S93" t="str">
        <f>IF(F93&gt;=4,"Bulk Order","Normal Order")</f>
        <v>Normal Order</v>
      </c>
    </row>
    <row r="94" spans="1:19" x14ac:dyDescent="0.3">
      <c r="A94" t="s">
        <v>836</v>
      </c>
      <c r="B94" t="s">
        <v>835</v>
      </c>
      <c r="C94" t="s">
        <v>3</v>
      </c>
      <c r="D94">
        <v>30</v>
      </c>
      <c r="E94" t="s">
        <v>23</v>
      </c>
      <c r="F94">
        <v>5</v>
      </c>
      <c r="G94">
        <v>58.65</v>
      </c>
      <c r="H94" t="s">
        <v>7</v>
      </c>
      <c r="I94" s="1">
        <v>44406</v>
      </c>
      <c r="J94" t="s">
        <v>28</v>
      </c>
      <c r="K94">
        <f>F94*G94</f>
        <v>293.25</v>
      </c>
      <c r="L94" t="str">
        <f>_xlfn.IFS(D94&lt;20,"Below 20",D94&lt;=30,"20-30",D94&lt;=40,"31-40",D94&lt;=50,"41-50",D94&lt;=60,"51-60",TRUE,"60+")</f>
        <v>20-30</v>
      </c>
      <c r="M94" t="str">
        <f>_xlfn.IFS(K94&lt;500,"Low Spend",K94&lt;=2000,"Medium Spend",K94&lt;=5000,"High Spend",TRUE,"Premium Spend")</f>
        <v>Low Spend</v>
      </c>
      <c r="N94" t="str">
        <f>_xlfn.IFS(F94=1,"1 Item",F94&lt;=3,"2-3 Items",F94&lt;=5,"4-5 Items",TRUE,"6+ Items")</f>
        <v>4-5 Items</v>
      </c>
      <c r="O94" t="str">
        <f>TEXT(I94,"mmm")</f>
        <v>Jul</v>
      </c>
      <c r="P94">
        <f>MONTH(I94)</f>
        <v>7</v>
      </c>
      <c r="Q94">
        <f>YEAR(I94)</f>
        <v>2021</v>
      </c>
      <c r="R94" t="str">
        <f>IF(K94&gt;=5000,"High Value","Regular")</f>
        <v>Regular</v>
      </c>
      <c r="S94" t="str">
        <f>IF(F94&gt;=4,"Bulk Order","Normal Order")</f>
        <v>Bulk Order</v>
      </c>
    </row>
    <row r="95" spans="1:19" x14ac:dyDescent="0.3">
      <c r="A95" t="s">
        <v>834</v>
      </c>
      <c r="B95" t="s">
        <v>833</v>
      </c>
      <c r="C95" t="s">
        <v>3</v>
      </c>
      <c r="D95">
        <v>25</v>
      </c>
      <c r="E95" t="s">
        <v>19</v>
      </c>
      <c r="F95">
        <v>2</v>
      </c>
      <c r="G95">
        <v>81.319999999999993</v>
      </c>
      <c r="H95" t="s">
        <v>7</v>
      </c>
      <c r="I95" s="1">
        <v>44911</v>
      </c>
      <c r="J95" t="s">
        <v>11</v>
      </c>
      <c r="K95">
        <f>F95*G95</f>
        <v>162.63999999999999</v>
      </c>
      <c r="L95" t="str">
        <f>_xlfn.IFS(D95&lt;20,"Below 20",D95&lt;=30,"20-30",D95&lt;=40,"31-40",D95&lt;=50,"41-50",D95&lt;=60,"51-60",TRUE,"60+")</f>
        <v>20-30</v>
      </c>
      <c r="M95" t="str">
        <f>_xlfn.IFS(K95&lt;500,"Low Spend",K95&lt;=2000,"Medium Spend",K95&lt;=5000,"High Spend",TRUE,"Premium Spend")</f>
        <v>Low Spend</v>
      </c>
      <c r="N95" t="str">
        <f>_xlfn.IFS(F95=1,"1 Item",F95&lt;=3,"2-3 Items",F95&lt;=5,"4-5 Items",TRUE,"6+ Items")</f>
        <v>2-3 Items</v>
      </c>
      <c r="O95" t="str">
        <f>TEXT(I95,"mmm")</f>
        <v>Dec</v>
      </c>
      <c r="P95">
        <f>MONTH(I95)</f>
        <v>12</v>
      </c>
      <c r="Q95">
        <f>YEAR(I95)</f>
        <v>2022</v>
      </c>
      <c r="R95" t="str">
        <f>IF(K95&gt;=5000,"High Value","Regular")</f>
        <v>Regular</v>
      </c>
      <c r="S95" t="str">
        <f>IF(F95&gt;=4,"Bulk Order","Normal Order")</f>
        <v>Normal Order</v>
      </c>
    </row>
    <row r="96" spans="1:19" x14ac:dyDescent="0.3">
      <c r="A96" t="s">
        <v>832</v>
      </c>
      <c r="B96" t="s">
        <v>831</v>
      </c>
      <c r="C96" t="s">
        <v>3</v>
      </c>
      <c r="D96">
        <v>29</v>
      </c>
      <c r="E96" t="s">
        <v>2</v>
      </c>
      <c r="F96">
        <v>3</v>
      </c>
      <c r="G96">
        <v>107.52</v>
      </c>
      <c r="H96" t="s">
        <v>7</v>
      </c>
      <c r="I96" s="1">
        <v>44350</v>
      </c>
      <c r="J96" t="s">
        <v>22</v>
      </c>
      <c r="K96">
        <f>F96*G96</f>
        <v>322.56</v>
      </c>
      <c r="L96" t="str">
        <f>_xlfn.IFS(D96&lt;20,"Below 20",D96&lt;=30,"20-30",D96&lt;=40,"31-40",D96&lt;=50,"41-50",D96&lt;=60,"51-60",TRUE,"60+")</f>
        <v>20-30</v>
      </c>
      <c r="M96" t="str">
        <f>_xlfn.IFS(K96&lt;500,"Low Spend",K96&lt;=2000,"Medium Spend",K96&lt;=5000,"High Spend",TRUE,"Premium Spend")</f>
        <v>Low Spend</v>
      </c>
      <c r="N96" t="str">
        <f>_xlfn.IFS(F96=1,"1 Item",F96&lt;=3,"2-3 Items",F96&lt;=5,"4-5 Items",TRUE,"6+ Items")</f>
        <v>2-3 Items</v>
      </c>
      <c r="O96" t="str">
        <f>TEXT(I96,"mmm")</f>
        <v>Jun</v>
      </c>
      <c r="P96">
        <f>MONTH(I96)</f>
        <v>6</v>
      </c>
      <c r="Q96">
        <f>YEAR(I96)</f>
        <v>2021</v>
      </c>
      <c r="R96" t="str">
        <f>IF(K96&gt;=5000,"High Value","Regular")</f>
        <v>Regular</v>
      </c>
      <c r="S96" t="str">
        <f>IF(F96&gt;=4,"Bulk Order","Normal Order")</f>
        <v>Normal Order</v>
      </c>
    </row>
    <row r="97" spans="1:19" x14ac:dyDescent="0.3">
      <c r="A97" t="s">
        <v>830</v>
      </c>
      <c r="B97" t="s">
        <v>829</v>
      </c>
      <c r="C97" t="s">
        <v>3</v>
      </c>
      <c r="D97">
        <v>19</v>
      </c>
      <c r="E97" t="s">
        <v>8</v>
      </c>
      <c r="F97">
        <v>2</v>
      </c>
      <c r="G97">
        <v>600.16</v>
      </c>
      <c r="H97" t="s">
        <v>7</v>
      </c>
      <c r="I97" s="1">
        <v>44547</v>
      </c>
      <c r="J97" t="s">
        <v>102</v>
      </c>
      <c r="K97">
        <f>F97*G97</f>
        <v>1200.32</v>
      </c>
      <c r="L97" t="str">
        <f>_xlfn.IFS(D97&lt;20,"Below 20",D97&lt;=30,"20-30",D97&lt;=40,"31-40",D97&lt;=50,"41-50",D97&lt;=60,"51-60",TRUE,"60+")</f>
        <v>Below 20</v>
      </c>
      <c r="M97" t="str">
        <f>_xlfn.IFS(K97&lt;500,"Low Spend",K97&lt;=2000,"Medium Spend",K97&lt;=5000,"High Spend",TRUE,"Premium Spend")</f>
        <v>Medium Spend</v>
      </c>
      <c r="N97" t="str">
        <f>_xlfn.IFS(F97=1,"1 Item",F97&lt;=3,"2-3 Items",F97&lt;=5,"4-5 Items",TRUE,"6+ Items")</f>
        <v>2-3 Items</v>
      </c>
      <c r="O97" t="str">
        <f>TEXT(I97,"mmm")</f>
        <v>Dec</v>
      </c>
      <c r="P97">
        <f>MONTH(I97)</f>
        <v>12</v>
      </c>
      <c r="Q97">
        <f>YEAR(I97)</f>
        <v>2021</v>
      </c>
      <c r="R97" t="str">
        <f>IF(K97&gt;=5000,"High Value","Regular")</f>
        <v>Regular</v>
      </c>
      <c r="S97" t="str">
        <f>IF(F97&gt;=4,"Bulk Order","Normal Order")</f>
        <v>Normal Order</v>
      </c>
    </row>
    <row r="98" spans="1:19" x14ac:dyDescent="0.3">
      <c r="A98" t="s">
        <v>828</v>
      </c>
      <c r="B98" t="s">
        <v>827</v>
      </c>
      <c r="C98" t="s">
        <v>12</v>
      </c>
      <c r="D98">
        <v>62</v>
      </c>
      <c r="E98" t="s">
        <v>8</v>
      </c>
      <c r="F98">
        <v>5</v>
      </c>
      <c r="G98">
        <v>1500.4</v>
      </c>
      <c r="H98" t="s">
        <v>1</v>
      </c>
      <c r="I98" s="1">
        <v>44926</v>
      </c>
      <c r="J98" t="s">
        <v>68</v>
      </c>
      <c r="K98">
        <f>F98*G98</f>
        <v>7502</v>
      </c>
      <c r="L98" t="str">
        <f>_xlfn.IFS(D98&lt;20,"Below 20",D98&lt;=30,"20-30",D98&lt;=40,"31-40",D98&lt;=50,"41-50",D98&lt;=60,"51-60",TRUE,"60+")</f>
        <v>60+</v>
      </c>
      <c r="M98" t="str">
        <f>_xlfn.IFS(K98&lt;500,"Low Spend",K98&lt;=2000,"Medium Spend",K98&lt;=5000,"High Spend",TRUE,"Premium Spend")</f>
        <v>Premium Spend</v>
      </c>
      <c r="N98" t="str">
        <f>_xlfn.IFS(F98=1,"1 Item",F98&lt;=3,"2-3 Items",F98&lt;=5,"4-5 Items",TRUE,"6+ Items")</f>
        <v>4-5 Items</v>
      </c>
      <c r="O98" t="str">
        <f>TEXT(I98,"mmm")</f>
        <v>Dec</v>
      </c>
      <c r="P98">
        <f>MONTH(I98)</f>
        <v>12</v>
      </c>
      <c r="Q98">
        <f>YEAR(I98)</f>
        <v>2022</v>
      </c>
      <c r="R98" t="str">
        <f>IF(K98&gt;=5000,"High Value","Regular")</f>
        <v>High Value</v>
      </c>
      <c r="S98" t="str">
        <f>IF(F98&gt;=4,"Bulk Order","Normal Order")</f>
        <v>Bulk Order</v>
      </c>
    </row>
    <row r="99" spans="1:19" x14ac:dyDescent="0.3">
      <c r="A99" t="s">
        <v>826</v>
      </c>
      <c r="B99" t="s">
        <v>825</v>
      </c>
      <c r="C99" t="s">
        <v>12</v>
      </c>
      <c r="D99">
        <v>39</v>
      </c>
      <c r="E99" t="s">
        <v>16</v>
      </c>
      <c r="F99">
        <v>3</v>
      </c>
      <c r="G99">
        <v>15.69</v>
      </c>
      <c r="H99" t="s">
        <v>15</v>
      </c>
      <c r="I99" s="1">
        <v>44782</v>
      </c>
      <c r="J99" t="s">
        <v>97</v>
      </c>
      <c r="K99">
        <f>F99*G99</f>
        <v>47.07</v>
      </c>
      <c r="L99" t="str">
        <f>_xlfn.IFS(D99&lt;20,"Below 20",D99&lt;=30,"20-30",D99&lt;=40,"31-40",D99&lt;=50,"41-50",D99&lt;=60,"51-60",TRUE,"60+")</f>
        <v>31-40</v>
      </c>
      <c r="M99" t="str">
        <f>_xlfn.IFS(K99&lt;500,"Low Spend",K99&lt;=2000,"Medium Spend",K99&lt;=5000,"High Spend",TRUE,"Premium Spend")</f>
        <v>Low Spend</v>
      </c>
      <c r="N99" t="str">
        <f>_xlfn.IFS(F99=1,"1 Item",F99&lt;=3,"2-3 Items",F99&lt;=5,"4-5 Items",TRUE,"6+ Items")</f>
        <v>2-3 Items</v>
      </c>
      <c r="O99" t="str">
        <f>TEXT(I99,"mmm")</f>
        <v>Aug</v>
      </c>
      <c r="P99">
        <f>MONTH(I99)</f>
        <v>8</v>
      </c>
      <c r="Q99">
        <f>YEAR(I99)</f>
        <v>2022</v>
      </c>
      <c r="R99" t="str">
        <f>IF(K99&gt;=5000,"High Value","Regular")</f>
        <v>Regular</v>
      </c>
      <c r="S99" t="str">
        <f>IF(F99&gt;=4,"Bulk Order","Normal Order")</f>
        <v>Normal Order</v>
      </c>
    </row>
    <row r="100" spans="1:19" x14ac:dyDescent="0.3">
      <c r="A100" t="s">
        <v>824</v>
      </c>
      <c r="B100" t="s">
        <v>823</v>
      </c>
      <c r="C100" t="s">
        <v>3</v>
      </c>
      <c r="D100">
        <v>33</v>
      </c>
      <c r="E100" t="s">
        <v>8</v>
      </c>
      <c r="F100">
        <v>3</v>
      </c>
      <c r="G100">
        <v>900.24</v>
      </c>
      <c r="H100" t="s">
        <v>15</v>
      </c>
      <c r="I100" s="1">
        <v>44773</v>
      </c>
      <c r="J100" t="s">
        <v>28</v>
      </c>
      <c r="K100">
        <f>F100*G100</f>
        <v>2700.7200000000003</v>
      </c>
      <c r="L100" t="str">
        <f>_xlfn.IFS(D100&lt;20,"Below 20",D100&lt;=30,"20-30",D100&lt;=40,"31-40",D100&lt;=50,"41-50",D100&lt;=60,"51-60",TRUE,"60+")</f>
        <v>31-40</v>
      </c>
      <c r="M100" t="str">
        <f>_xlfn.IFS(K100&lt;500,"Low Spend",K100&lt;=2000,"Medium Spend",K100&lt;=5000,"High Spend",TRUE,"Premium Spend")</f>
        <v>High Spend</v>
      </c>
      <c r="N100" t="str">
        <f>_xlfn.IFS(F100=1,"1 Item",F100&lt;=3,"2-3 Items",F100&lt;=5,"4-5 Items",TRUE,"6+ Items")</f>
        <v>2-3 Items</v>
      </c>
      <c r="O100" t="str">
        <f>TEXT(I100,"mmm")</f>
        <v>Jul</v>
      </c>
      <c r="P100">
        <f>MONTH(I100)</f>
        <v>7</v>
      </c>
      <c r="Q100">
        <f>YEAR(I100)</f>
        <v>2022</v>
      </c>
      <c r="R100" t="str">
        <f>IF(K100&gt;=5000,"High Value","Regular")</f>
        <v>Regular</v>
      </c>
      <c r="S100" t="str">
        <f>IF(F100&gt;=4,"Bulk Order","Normal Order")</f>
        <v>Normal Order</v>
      </c>
    </row>
    <row r="101" spans="1:19" x14ac:dyDescent="0.3">
      <c r="A101" t="s">
        <v>822</v>
      </c>
      <c r="B101" t="s">
        <v>821</v>
      </c>
      <c r="C101" t="s">
        <v>3</v>
      </c>
      <c r="D101">
        <v>26</v>
      </c>
      <c r="E101" t="s">
        <v>16</v>
      </c>
      <c r="F101">
        <v>4</v>
      </c>
      <c r="G101">
        <v>20.92</v>
      </c>
      <c r="H101" t="s">
        <v>7</v>
      </c>
      <c r="I101" s="1">
        <v>44320</v>
      </c>
      <c r="J101" t="s">
        <v>22</v>
      </c>
      <c r="K101">
        <f>F101*G101</f>
        <v>83.68</v>
      </c>
      <c r="L101" t="str">
        <f>_xlfn.IFS(D101&lt;20,"Below 20",D101&lt;=30,"20-30",D101&lt;=40,"31-40",D101&lt;=50,"41-50",D101&lt;=60,"51-60",TRUE,"60+")</f>
        <v>20-30</v>
      </c>
      <c r="M101" t="str">
        <f>_xlfn.IFS(K101&lt;500,"Low Spend",K101&lt;=2000,"Medium Spend",K101&lt;=5000,"High Spend",TRUE,"Premium Spend")</f>
        <v>Low Spend</v>
      </c>
      <c r="N101" t="str">
        <f>_xlfn.IFS(F101=1,"1 Item",F101&lt;=3,"2-3 Items",F101&lt;=5,"4-5 Items",TRUE,"6+ Items")</f>
        <v>4-5 Items</v>
      </c>
      <c r="O101" t="str">
        <f>TEXT(I101,"mmm")</f>
        <v>May</v>
      </c>
      <c r="P101">
        <f>MONTH(I101)</f>
        <v>5</v>
      </c>
      <c r="Q101">
        <f>YEAR(I101)</f>
        <v>2021</v>
      </c>
      <c r="R101" t="str">
        <f>IF(K101&gt;=5000,"High Value","Regular")</f>
        <v>Regular</v>
      </c>
      <c r="S101" t="str">
        <f>IF(F101&gt;=4,"Bulk Order","Normal Order")</f>
        <v>Bulk Order</v>
      </c>
    </row>
    <row r="102" spans="1:19" x14ac:dyDescent="0.3">
      <c r="A102" t="s">
        <v>820</v>
      </c>
      <c r="B102" t="s">
        <v>819</v>
      </c>
      <c r="C102" t="s">
        <v>12</v>
      </c>
      <c r="D102">
        <v>43</v>
      </c>
      <c r="E102" t="s">
        <v>112</v>
      </c>
      <c r="F102">
        <v>3</v>
      </c>
      <c r="G102">
        <v>3150</v>
      </c>
      <c r="H102" t="s">
        <v>1</v>
      </c>
      <c r="I102" s="1">
        <v>44706</v>
      </c>
      <c r="J102" t="s">
        <v>6</v>
      </c>
      <c r="K102">
        <f>F102*G102</f>
        <v>9450</v>
      </c>
      <c r="L102" t="str">
        <f>_xlfn.IFS(D102&lt;20,"Below 20",D102&lt;=30,"20-30",D102&lt;=40,"31-40",D102&lt;=50,"41-50",D102&lt;=60,"51-60",TRUE,"60+")</f>
        <v>41-50</v>
      </c>
      <c r="M102" t="str">
        <f>_xlfn.IFS(K102&lt;500,"Low Spend",K102&lt;=2000,"Medium Spend",K102&lt;=5000,"High Spend",TRUE,"Premium Spend")</f>
        <v>Premium Spend</v>
      </c>
      <c r="N102" t="str">
        <f>_xlfn.IFS(F102=1,"1 Item",F102&lt;=3,"2-3 Items",F102&lt;=5,"4-5 Items",TRUE,"6+ Items")</f>
        <v>2-3 Items</v>
      </c>
      <c r="O102" t="str">
        <f>TEXT(I102,"mmm")</f>
        <v>May</v>
      </c>
      <c r="P102">
        <f>MONTH(I102)</f>
        <v>5</v>
      </c>
      <c r="Q102">
        <f>YEAR(I102)</f>
        <v>2022</v>
      </c>
      <c r="R102" t="str">
        <f>IF(K102&gt;=5000,"High Value","Regular")</f>
        <v>High Value</v>
      </c>
      <c r="S102" t="str">
        <f>IF(F102&gt;=4,"Bulk Order","Normal Order")</f>
        <v>Normal Order</v>
      </c>
    </row>
    <row r="103" spans="1:19" x14ac:dyDescent="0.3">
      <c r="A103" t="s">
        <v>818</v>
      </c>
      <c r="B103" t="s">
        <v>817</v>
      </c>
      <c r="C103" t="s">
        <v>3</v>
      </c>
      <c r="D103">
        <v>40</v>
      </c>
      <c r="E103" t="s">
        <v>16</v>
      </c>
      <c r="F103">
        <v>3</v>
      </c>
      <c r="G103">
        <v>15.69</v>
      </c>
      <c r="H103" t="s">
        <v>7</v>
      </c>
      <c r="I103" s="1">
        <v>44918</v>
      </c>
      <c r="J103" t="s">
        <v>28</v>
      </c>
      <c r="K103">
        <f>F103*G103</f>
        <v>47.07</v>
      </c>
      <c r="L103" t="str">
        <f>_xlfn.IFS(D103&lt;20,"Below 20",D103&lt;=30,"20-30",D103&lt;=40,"31-40",D103&lt;=50,"41-50",D103&lt;=60,"51-60",TRUE,"60+")</f>
        <v>31-40</v>
      </c>
      <c r="M103" t="str">
        <f>_xlfn.IFS(K103&lt;500,"Low Spend",K103&lt;=2000,"Medium Spend",K103&lt;=5000,"High Spend",TRUE,"Premium Spend")</f>
        <v>Low Spend</v>
      </c>
      <c r="N103" t="str">
        <f>_xlfn.IFS(F103=1,"1 Item",F103&lt;=3,"2-3 Items",F103&lt;=5,"4-5 Items",TRUE,"6+ Items")</f>
        <v>2-3 Items</v>
      </c>
      <c r="O103" t="str">
        <f>TEXT(I103,"mmm")</f>
        <v>Dec</v>
      </c>
      <c r="P103">
        <f>MONTH(I103)</f>
        <v>12</v>
      </c>
      <c r="Q103">
        <f>YEAR(I103)</f>
        <v>2022</v>
      </c>
      <c r="R103" t="str">
        <f>IF(K103&gt;=5000,"High Value","Regular")</f>
        <v>Regular</v>
      </c>
      <c r="S103" t="str">
        <f>IF(F103&gt;=4,"Bulk Order","Normal Order")</f>
        <v>Normal Order</v>
      </c>
    </row>
    <row r="104" spans="1:19" x14ac:dyDescent="0.3">
      <c r="A104" t="s">
        <v>816</v>
      </c>
      <c r="B104" t="s">
        <v>815</v>
      </c>
      <c r="C104" t="s">
        <v>12</v>
      </c>
      <c r="D104">
        <v>55</v>
      </c>
      <c r="E104" t="s">
        <v>8</v>
      </c>
      <c r="F104">
        <v>4</v>
      </c>
      <c r="G104">
        <v>1200.32</v>
      </c>
      <c r="H104" t="s">
        <v>1</v>
      </c>
      <c r="I104" s="1">
        <v>44950</v>
      </c>
      <c r="J104" t="s">
        <v>28</v>
      </c>
      <c r="K104">
        <f>F104*G104</f>
        <v>4801.28</v>
      </c>
      <c r="L104" t="str">
        <f>_xlfn.IFS(D104&lt;20,"Below 20",D104&lt;=30,"20-30",D104&lt;=40,"31-40",D104&lt;=50,"41-50",D104&lt;=60,"51-60",TRUE,"60+")</f>
        <v>51-60</v>
      </c>
      <c r="M104" t="str">
        <f>_xlfn.IFS(K104&lt;500,"Low Spend",K104&lt;=2000,"Medium Spend",K104&lt;=5000,"High Spend",TRUE,"Premium Spend")</f>
        <v>High Spend</v>
      </c>
      <c r="N104" t="str">
        <f>_xlfn.IFS(F104=1,"1 Item",F104&lt;=3,"2-3 Items",F104&lt;=5,"4-5 Items",TRUE,"6+ Items")</f>
        <v>4-5 Items</v>
      </c>
      <c r="O104" t="str">
        <f>TEXT(I104,"mmm")</f>
        <v>Jan</v>
      </c>
      <c r="P104">
        <f>MONTH(I104)</f>
        <v>1</v>
      </c>
      <c r="Q104">
        <f>YEAR(I104)</f>
        <v>2023</v>
      </c>
      <c r="R104" t="str">
        <f>IF(K104&gt;=5000,"High Value","Regular")</f>
        <v>Regular</v>
      </c>
      <c r="S104" t="str">
        <f>IF(F104&gt;=4,"Bulk Order","Normal Order")</f>
        <v>Bulk Order</v>
      </c>
    </row>
    <row r="105" spans="1:19" x14ac:dyDescent="0.3">
      <c r="A105" t="s">
        <v>814</v>
      </c>
      <c r="B105" t="s">
        <v>813</v>
      </c>
      <c r="C105" t="s">
        <v>3</v>
      </c>
      <c r="D105">
        <v>24</v>
      </c>
      <c r="E105" t="s">
        <v>8</v>
      </c>
      <c r="F105">
        <v>5</v>
      </c>
      <c r="G105">
        <v>1500.4</v>
      </c>
      <c r="H105" t="s">
        <v>1</v>
      </c>
      <c r="I105" s="1">
        <v>44453</v>
      </c>
      <c r="J105" t="s">
        <v>6</v>
      </c>
      <c r="K105">
        <f>F105*G105</f>
        <v>7502</v>
      </c>
      <c r="L105" t="str">
        <f>_xlfn.IFS(D105&lt;20,"Below 20",D105&lt;=30,"20-30",D105&lt;=40,"31-40",D105&lt;=50,"41-50",D105&lt;=60,"51-60",TRUE,"60+")</f>
        <v>20-30</v>
      </c>
      <c r="M105" t="str">
        <f>_xlfn.IFS(K105&lt;500,"Low Spend",K105&lt;=2000,"Medium Spend",K105&lt;=5000,"High Spend",TRUE,"Premium Spend")</f>
        <v>Premium Spend</v>
      </c>
      <c r="N105" t="str">
        <f>_xlfn.IFS(F105=1,"1 Item",F105&lt;=3,"2-3 Items",F105&lt;=5,"4-5 Items",TRUE,"6+ Items")</f>
        <v>4-5 Items</v>
      </c>
      <c r="O105" t="str">
        <f>TEXT(I105,"mmm")</f>
        <v>Sep</v>
      </c>
      <c r="P105">
        <f>MONTH(I105)</f>
        <v>9</v>
      </c>
      <c r="Q105">
        <f>YEAR(I105)</f>
        <v>2021</v>
      </c>
      <c r="R105" t="str">
        <f>IF(K105&gt;=5000,"High Value","Regular")</f>
        <v>High Value</v>
      </c>
      <c r="S105" t="str">
        <f>IF(F105&gt;=4,"Bulk Order","Normal Order")</f>
        <v>Bulk Order</v>
      </c>
    </row>
    <row r="106" spans="1:19" x14ac:dyDescent="0.3">
      <c r="A106" t="s">
        <v>812</v>
      </c>
      <c r="B106" t="s">
        <v>811</v>
      </c>
      <c r="C106" t="s">
        <v>12</v>
      </c>
      <c r="D106">
        <v>24</v>
      </c>
      <c r="E106" t="s">
        <v>19</v>
      </c>
      <c r="F106">
        <v>1</v>
      </c>
      <c r="G106">
        <v>40.659999999999997</v>
      </c>
      <c r="H106" t="s">
        <v>15</v>
      </c>
      <c r="I106" s="1">
        <v>44596</v>
      </c>
      <c r="J106" t="s">
        <v>11</v>
      </c>
      <c r="K106">
        <f>F106*G106</f>
        <v>40.659999999999997</v>
      </c>
      <c r="L106" t="str">
        <f>_xlfn.IFS(D106&lt;20,"Below 20",D106&lt;=30,"20-30",D106&lt;=40,"31-40",D106&lt;=50,"41-50",D106&lt;=60,"51-60",TRUE,"60+")</f>
        <v>20-30</v>
      </c>
      <c r="M106" t="str">
        <f>_xlfn.IFS(K106&lt;500,"Low Spend",K106&lt;=2000,"Medium Spend",K106&lt;=5000,"High Spend",TRUE,"Premium Spend")</f>
        <v>Low Spend</v>
      </c>
      <c r="N106" t="str">
        <f>_xlfn.IFS(F106=1,"1 Item",F106&lt;=3,"2-3 Items",F106&lt;=5,"4-5 Items",TRUE,"6+ Items")</f>
        <v>1 Item</v>
      </c>
      <c r="O106" t="str">
        <f>TEXT(I106,"mmm")</f>
        <v>Feb</v>
      </c>
      <c r="P106">
        <f>MONTH(I106)</f>
        <v>2</v>
      </c>
      <c r="Q106">
        <f>YEAR(I106)</f>
        <v>2022</v>
      </c>
      <c r="R106" t="str">
        <f>IF(K106&gt;=5000,"High Value","Regular")</f>
        <v>Regular</v>
      </c>
      <c r="S106" t="str">
        <f>IF(F106&gt;=4,"Bulk Order","Normal Order")</f>
        <v>Normal Order</v>
      </c>
    </row>
    <row r="107" spans="1:19" x14ac:dyDescent="0.3">
      <c r="A107" t="s">
        <v>810</v>
      </c>
      <c r="B107" t="s">
        <v>809</v>
      </c>
      <c r="C107" t="s">
        <v>3</v>
      </c>
      <c r="D107">
        <v>30</v>
      </c>
      <c r="E107" t="s">
        <v>16</v>
      </c>
      <c r="F107">
        <v>5</v>
      </c>
      <c r="G107">
        <v>26.15</v>
      </c>
      <c r="H107" t="s">
        <v>1</v>
      </c>
      <c r="I107" s="1">
        <v>44567</v>
      </c>
      <c r="J107" t="s">
        <v>11</v>
      </c>
      <c r="K107">
        <f>F107*G107</f>
        <v>130.75</v>
      </c>
      <c r="L107" t="str">
        <f>_xlfn.IFS(D107&lt;20,"Below 20",D107&lt;=30,"20-30",D107&lt;=40,"31-40",D107&lt;=50,"41-50",D107&lt;=60,"51-60",TRUE,"60+")</f>
        <v>20-30</v>
      </c>
      <c r="M107" t="str">
        <f>_xlfn.IFS(K107&lt;500,"Low Spend",K107&lt;=2000,"Medium Spend",K107&lt;=5000,"High Spend",TRUE,"Premium Spend")</f>
        <v>Low Spend</v>
      </c>
      <c r="N107" t="str">
        <f>_xlfn.IFS(F107=1,"1 Item",F107&lt;=3,"2-3 Items",F107&lt;=5,"4-5 Items",TRUE,"6+ Items")</f>
        <v>4-5 Items</v>
      </c>
      <c r="O107" t="str">
        <f>TEXT(I107,"mmm")</f>
        <v>Jan</v>
      </c>
      <c r="P107">
        <f>MONTH(I107)</f>
        <v>1</v>
      </c>
      <c r="Q107">
        <f>YEAR(I107)</f>
        <v>2022</v>
      </c>
      <c r="R107" t="str">
        <f>IF(K107&gt;=5000,"High Value","Regular")</f>
        <v>Regular</v>
      </c>
      <c r="S107" t="str">
        <f>IF(F107&gt;=4,"Bulk Order","Normal Order")</f>
        <v>Bulk Order</v>
      </c>
    </row>
    <row r="108" spans="1:19" x14ac:dyDescent="0.3">
      <c r="A108" t="s">
        <v>808</v>
      </c>
      <c r="B108" t="s">
        <v>807</v>
      </c>
      <c r="C108" t="s">
        <v>12</v>
      </c>
      <c r="D108">
        <v>34</v>
      </c>
      <c r="E108" t="s">
        <v>8</v>
      </c>
      <c r="F108">
        <v>5</v>
      </c>
      <c r="G108">
        <v>1500.4</v>
      </c>
      <c r="H108" t="s">
        <v>1</v>
      </c>
      <c r="I108" s="1">
        <v>44593</v>
      </c>
      <c r="J108" t="s">
        <v>22</v>
      </c>
      <c r="K108">
        <f>F108*G108</f>
        <v>7502</v>
      </c>
      <c r="L108" t="str">
        <f>_xlfn.IFS(D108&lt;20,"Below 20",D108&lt;=30,"20-30",D108&lt;=40,"31-40",D108&lt;=50,"41-50",D108&lt;=60,"51-60",TRUE,"60+")</f>
        <v>31-40</v>
      </c>
      <c r="M108" t="str">
        <f>_xlfn.IFS(K108&lt;500,"Low Spend",K108&lt;=2000,"Medium Spend",K108&lt;=5000,"High Spend",TRUE,"Premium Spend")</f>
        <v>Premium Spend</v>
      </c>
      <c r="N108" t="str">
        <f>_xlfn.IFS(F108=1,"1 Item",F108&lt;=3,"2-3 Items",F108&lt;=5,"4-5 Items",TRUE,"6+ Items")</f>
        <v>4-5 Items</v>
      </c>
      <c r="O108" t="str">
        <f>TEXT(I108,"mmm")</f>
        <v>Feb</v>
      </c>
      <c r="P108">
        <f>MONTH(I108)</f>
        <v>2</v>
      </c>
      <c r="Q108">
        <f>YEAR(I108)</f>
        <v>2022</v>
      </c>
      <c r="R108" t="str">
        <f>IF(K108&gt;=5000,"High Value","Regular")</f>
        <v>High Value</v>
      </c>
      <c r="S108" t="str">
        <f>IF(F108&gt;=4,"Bulk Order","Normal Order")</f>
        <v>Bulk Order</v>
      </c>
    </row>
    <row r="109" spans="1:19" x14ac:dyDescent="0.3">
      <c r="A109" t="s">
        <v>806</v>
      </c>
      <c r="B109" t="s">
        <v>805</v>
      </c>
      <c r="C109" t="s">
        <v>3</v>
      </c>
      <c r="D109">
        <v>64</v>
      </c>
      <c r="E109" t="s">
        <v>8</v>
      </c>
      <c r="F109">
        <v>5</v>
      </c>
      <c r="G109">
        <v>1500.4</v>
      </c>
      <c r="H109" t="s">
        <v>15</v>
      </c>
      <c r="I109" s="1">
        <v>44860</v>
      </c>
      <c r="J109" t="s">
        <v>102</v>
      </c>
      <c r="K109">
        <f>F109*G109</f>
        <v>7502</v>
      </c>
      <c r="L109" t="str">
        <f>_xlfn.IFS(D109&lt;20,"Below 20",D109&lt;=30,"20-30",D109&lt;=40,"31-40",D109&lt;=50,"41-50",D109&lt;=60,"51-60",TRUE,"60+")</f>
        <v>60+</v>
      </c>
      <c r="M109" t="str">
        <f>_xlfn.IFS(K109&lt;500,"Low Spend",K109&lt;=2000,"Medium Spend",K109&lt;=5000,"High Spend",TRUE,"Premium Spend")</f>
        <v>Premium Spend</v>
      </c>
      <c r="N109" t="str">
        <f>_xlfn.IFS(F109=1,"1 Item",F109&lt;=3,"2-3 Items",F109&lt;=5,"4-5 Items",TRUE,"6+ Items")</f>
        <v>4-5 Items</v>
      </c>
      <c r="O109" t="str">
        <f>TEXT(I109,"mmm")</f>
        <v>Oct</v>
      </c>
      <c r="P109">
        <f>MONTH(I109)</f>
        <v>10</v>
      </c>
      <c r="Q109">
        <f>YEAR(I109)</f>
        <v>2022</v>
      </c>
      <c r="R109" t="str">
        <f>IF(K109&gt;=5000,"High Value","Regular")</f>
        <v>High Value</v>
      </c>
      <c r="S109" t="str">
        <f>IF(F109&gt;=4,"Bulk Order","Normal Order")</f>
        <v>Bulk Order</v>
      </c>
    </row>
    <row r="110" spans="1:19" x14ac:dyDescent="0.3">
      <c r="A110" t="s">
        <v>804</v>
      </c>
      <c r="B110" t="s">
        <v>803</v>
      </c>
      <c r="C110" t="s">
        <v>3</v>
      </c>
      <c r="D110">
        <v>57</v>
      </c>
      <c r="E110" t="s">
        <v>8</v>
      </c>
      <c r="F110">
        <v>5</v>
      </c>
      <c r="G110">
        <v>1500.4</v>
      </c>
      <c r="H110" t="s">
        <v>15</v>
      </c>
      <c r="I110" s="1">
        <v>44825</v>
      </c>
      <c r="J110" t="s">
        <v>22</v>
      </c>
      <c r="K110">
        <f>F110*G110</f>
        <v>7502</v>
      </c>
      <c r="L110" t="str">
        <f>_xlfn.IFS(D110&lt;20,"Below 20",D110&lt;=30,"20-30",D110&lt;=40,"31-40",D110&lt;=50,"41-50",D110&lt;=60,"51-60",TRUE,"60+")</f>
        <v>51-60</v>
      </c>
      <c r="M110" t="str">
        <f>_xlfn.IFS(K110&lt;500,"Low Spend",K110&lt;=2000,"Medium Spend",K110&lt;=5000,"High Spend",TRUE,"Premium Spend")</f>
        <v>Premium Spend</v>
      </c>
      <c r="N110" t="str">
        <f>_xlfn.IFS(F110=1,"1 Item",F110&lt;=3,"2-3 Items",F110&lt;=5,"4-5 Items",TRUE,"6+ Items")</f>
        <v>4-5 Items</v>
      </c>
      <c r="O110" t="str">
        <f>TEXT(I110,"mmm")</f>
        <v>Sep</v>
      </c>
      <c r="P110">
        <f>MONTH(I110)</f>
        <v>9</v>
      </c>
      <c r="Q110">
        <f>YEAR(I110)</f>
        <v>2022</v>
      </c>
      <c r="R110" t="str">
        <f>IF(K110&gt;=5000,"High Value","Regular")</f>
        <v>High Value</v>
      </c>
      <c r="S110" t="str">
        <f>IF(F110&gt;=4,"Bulk Order","Normal Order")</f>
        <v>Bulk Order</v>
      </c>
    </row>
    <row r="111" spans="1:19" x14ac:dyDescent="0.3">
      <c r="A111" t="s">
        <v>802</v>
      </c>
      <c r="B111" t="s">
        <v>801</v>
      </c>
      <c r="C111" t="s">
        <v>12</v>
      </c>
      <c r="D111">
        <v>18</v>
      </c>
      <c r="E111" t="s">
        <v>19</v>
      </c>
      <c r="F111">
        <v>4</v>
      </c>
      <c r="G111">
        <v>162.63999999999999</v>
      </c>
      <c r="H111" t="s">
        <v>1</v>
      </c>
      <c r="I111" s="1">
        <v>44542</v>
      </c>
      <c r="J111" t="s">
        <v>0</v>
      </c>
      <c r="K111">
        <f>F111*G111</f>
        <v>650.55999999999995</v>
      </c>
      <c r="L111" t="str">
        <f>_xlfn.IFS(D111&lt;20,"Below 20",D111&lt;=30,"20-30",D111&lt;=40,"31-40",D111&lt;=50,"41-50",D111&lt;=60,"51-60",TRUE,"60+")</f>
        <v>Below 20</v>
      </c>
      <c r="M111" t="str">
        <f>_xlfn.IFS(K111&lt;500,"Low Spend",K111&lt;=2000,"Medium Spend",K111&lt;=5000,"High Spend",TRUE,"Premium Spend")</f>
        <v>Medium Spend</v>
      </c>
      <c r="N111" t="str">
        <f>_xlfn.IFS(F111=1,"1 Item",F111&lt;=3,"2-3 Items",F111&lt;=5,"4-5 Items",TRUE,"6+ Items")</f>
        <v>4-5 Items</v>
      </c>
      <c r="O111" t="str">
        <f>TEXT(I111,"mmm")</f>
        <v>Dec</v>
      </c>
      <c r="P111">
        <f>MONTH(I111)</f>
        <v>12</v>
      </c>
      <c r="Q111">
        <f>YEAR(I111)</f>
        <v>2021</v>
      </c>
      <c r="R111" t="str">
        <f>IF(K111&gt;=5000,"High Value","Regular")</f>
        <v>Regular</v>
      </c>
      <c r="S111" t="str">
        <f>IF(F111&gt;=4,"Bulk Order","Normal Order")</f>
        <v>Bulk Order</v>
      </c>
    </row>
    <row r="112" spans="1:19" x14ac:dyDescent="0.3">
      <c r="A112" t="s">
        <v>800</v>
      </c>
      <c r="B112" t="s">
        <v>799</v>
      </c>
      <c r="C112" t="s">
        <v>3</v>
      </c>
      <c r="D112">
        <v>26</v>
      </c>
      <c r="E112" t="s">
        <v>8</v>
      </c>
      <c r="F112">
        <v>4</v>
      </c>
      <c r="G112">
        <v>1200.32</v>
      </c>
      <c r="H112" t="s">
        <v>15</v>
      </c>
      <c r="I112" s="1">
        <v>44429</v>
      </c>
      <c r="J112" t="s">
        <v>107</v>
      </c>
      <c r="K112">
        <f>F112*G112</f>
        <v>4801.28</v>
      </c>
      <c r="L112" t="str">
        <f>_xlfn.IFS(D112&lt;20,"Below 20",D112&lt;=30,"20-30",D112&lt;=40,"31-40",D112&lt;=50,"41-50",D112&lt;=60,"51-60",TRUE,"60+")</f>
        <v>20-30</v>
      </c>
      <c r="M112" t="str">
        <f>_xlfn.IFS(K112&lt;500,"Low Spend",K112&lt;=2000,"Medium Spend",K112&lt;=5000,"High Spend",TRUE,"Premium Spend")</f>
        <v>High Spend</v>
      </c>
      <c r="N112" t="str">
        <f>_xlfn.IFS(F112=1,"1 Item",F112&lt;=3,"2-3 Items",F112&lt;=5,"4-5 Items",TRUE,"6+ Items")</f>
        <v>4-5 Items</v>
      </c>
      <c r="O112" t="str">
        <f>TEXT(I112,"mmm")</f>
        <v>Aug</v>
      </c>
      <c r="P112">
        <f>MONTH(I112)</f>
        <v>8</v>
      </c>
      <c r="Q112">
        <f>YEAR(I112)</f>
        <v>2021</v>
      </c>
      <c r="R112" t="str">
        <f>IF(K112&gt;=5000,"High Value","Regular")</f>
        <v>Regular</v>
      </c>
      <c r="S112" t="str">
        <f>IF(F112&gt;=4,"Bulk Order","Normal Order")</f>
        <v>Bulk Order</v>
      </c>
    </row>
    <row r="113" spans="1:19" x14ac:dyDescent="0.3">
      <c r="A113" t="s">
        <v>798</v>
      </c>
      <c r="B113" t="s">
        <v>797</v>
      </c>
      <c r="C113" t="s">
        <v>3</v>
      </c>
      <c r="D113">
        <v>19</v>
      </c>
      <c r="E113" t="s">
        <v>16</v>
      </c>
      <c r="F113">
        <v>3</v>
      </c>
      <c r="G113">
        <v>15.69</v>
      </c>
      <c r="H113" t="s">
        <v>7</v>
      </c>
      <c r="I113" s="1">
        <v>44477</v>
      </c>
      <c r="J113" t="s">
        <v>38</v>
      </c>
      <c r="K113">
        <f>F113*G113</f>
        <v>47.07</v>
      </c>
      <c r="L113" t="str">
        <f>_xlfn.IFS(D113&lt;20,"Below 20",D113&lt;=30,"20-30",D113&lt;=40,"31-40",D113&lt;=50,"41-50",D113&lt;=60,"51-60",TRUE,"60+")</f>
        <v>Below 20</v>
      </c>
      <c r="M113" t="str">
        <f>_xlfn.IFS(K113&lt;500,"Low Spend",K113&lt;=2000,"Medium Spend",K113&lt;=5000,"High Spend",TRUE,"Premium Spend")</f>
        <v>Low Spend</v>
      </c>
      <c r="N113" t="str">
        <f>_xlfn.IFS(F113=1,"1 Item",F113&lt;=3,"2-3 Items",F113&lt;=5,"4-5 Items",TRUE,"6+ Items")</f>
        <v>2-3 Items</v>
      </c>
      <c r="O113" t="str">
        <f>TEXT(I113,"mmm")</f>
        <v>Oct</v>
      </c>
      <c r="P113">
        <f>MONTH(I113)</f>
        <v>10</v>
      </c>
      <c r="Q113">
        <f>YEAR(I113)</f>
        <v>2021</v>
      </c>
      <c r="R113" t="str">
        <f>IF(K113&gt;=5000,"High Value","Regular")</f>
        <v>Regular</v>
      </c>
      <c r="S113" t="str">
        <f>IF(F113&gt;=4,"Bulk Order","Normal Order")</f>
        <v>Normal Order</v>
      </c>
    </row>
    <row r="114" spans="1:19" x14ac:dyDescent="0.3">
      <c r="A114" t="s">
        <v>796</v>
      </c>
      <c r="B114" t="s">
        <v>795</v>
      </c>
      <c r="C114" t="s">
        <v>3</v>
      </c>
      <c r="D114">
        <v>22</v>
      </c>
      <c r="E114" t="s">
        <v>61</v>
      </c>
      <c r="F114">
        <v>3</v>
      </c>
      <c r="G114">
        <v>45.45</v>
      </c>
      <c r="H114" t="s">
        <v>15</v>
      </c>
      <c r="I114" s="1">
        <v>44522</v>
      </c>
      <c r="J114" t="s">
        <v>28</v>
      </c>
      <c r="K114">
        <f>F114*G114</f>
        <v>136.35000000000002</v>
      </c>
      <c r="L114" t="str">
        <f>_xlfn.IFS(D114&lt;20,"Below 20",D114&lt;=30,"20-30",D114&lt;=40,"31-40",D114&lt;=50,"41-50",D114&lt;=60,"51-60",TRUE,"60+")</f>
        <v>20-30</v>
      </c>
      <c r="M114" t="str">
        <f>_xlfn.IFS(K114&lt;500,"Low Spend",K114&lt;=2000,"Medium Spend",K114&lt;=5000,"High Spend",TRUE,"Premium Spend")</f>
        <v>Low Spend</v>
      </c>
      <c r="N114" t="str">
        <f>_xlfn.IFS(F114=1,"1 Item",F114&lt;=3,"2-3 Items",F114&lt;=5,"4-5 Items",TRUE,"6+ Items")</f>
        <v>2-3 Items</v>
      </c>
      <c r="O114" t="str">
        <f>TEXT(I114,"mmm")</f>
        <v>Nov</v>
      </c>
      <c r="P114">
        <f>MONTH(I114)</f>
        <v>11</v>
      </c>
      <c r="Q114">
        <f>YEAR(I114)</f>
        <v>2021</v>
      </c>
      <c r="R114" t="str">
        <f>IF(K114&gt;=5000,"High Value","Regular")</f>
        <v>Regular</v>
      </c>
      <c r="S114" t="str">
        <f>IF(F114&gt;=4,"Bulk Order","Normal Order")</f>
        <v>Normal Order</v>
      </c>
    </row>
    <row r="115" spans="1:19" x14ac:dyDescent="0.3">
      <c r="A115" t="s">
        <v>794</v>
      </c>
      <c r="B115" t="s">
        <v>793</v>
      </c>
      <c r="C115" t="s">
        <v>12</v>
      </c>
      <c r="D115">
        <v>48</v>
      </c>
      <c r="E115" t="s">
        <v>8</v>
      </c>
      <c r="F115">
        <v>1</v>
      </c>
      <c r="G115">
        <v>300.08</v>
      </c>
      <c r="H115" t="s">
        <v>15</v>
      </c>
      <c r="I115" s="1">
        <v>44639</v>
      </c>
      <c r="J115" t="s">
        <v>28</v>
      </c>
      <c r="K115">
        <f>F115*G115</f>
        <v>300.08</v>
      </c>
      <c r="L115" t="str">
        <f>_xlfn.IFS(D115&lt;20,"Below 20",D115&lt;=30,"20-30",D115&lt;=40,"31-40",D115&lt;=50,"41-50",D115&lt;=60,"51-60",TRUE,"60+")</f>
        <v>41-50</v>
      </c>
      <c r="M115" t="str">
        <f>_xlfn.IFS(K115&lt;500,"Low Spend",K115&lt;=2000,"Medium Spend",K115&lt;=5000,"High Spend",TRUE,"Premium Spend")</f>
        <v>Low Spend</v>
      </c>
      <c r="N115" t="str">
        <f>_xlfn.IFS(F115=1,"1 Item",F115&lt;=3,"2-3 Items",F115&lt;=5,"4-5 Items",TRUE,"6+ Items")</f>
        <v>1 Item</v>
      </c>
      <c r="O115" t="str">
        <f>TEXT(I115,"mmm")</f>
        <v>Mar</v>
      </c>
      <c r="P115">
        <f>MONTH(I115)</f>
        <v>3</v>
      </c>
      <c r="Q115">
        <f>YEAR(I115)</f>
        <v>2022</v>
      </c>
      <c r="R115" t="str">
        <f>IF(K115&gt;=5000,"High Value","Regular")</f>
        <v>Regular</v>
      </c>
      <c r="S115" t="str">
        <f>IF(F115&gt;=4,"Bulk Order","Normal Order")</f>
        <v>Normal Order</v>
      </c>
    </row>
    <row r="116" spans="1:19" x14ac:dyDescent="0.3">
      <c r="A116" t="s">
        <v>792</v>
      </c>
      <c r="B116" t="s">
        <v>791</v>
      </c>
      <c r="C116" t="s">
        <v>3</v>
      </c>
      <c r="D116">
        <v>56</v>
      </c>
      <c r="E116" t="s">
        <v>23</v>
      </c>
      <c r="F116">
        <v>5</v>
      </c>
      <c r="G116">
        <v>58.65</v>
      </c>
      <c r="H116" t="s">
        <v>15</v>
      </c>
      <c r="I116" s="1">
        <v>44853</v>
      </c>
      <c r="J116" t="s">
        <v>0</v>
      </c>
      <c r="K116">
        <f>F116*G116</f>
        <v>293.25</v>
      </c>
      <c r="L116" t="str">
        <f>_xlfn.IFS(D116&lt;20,"Below 20",D116&lt;=30,"20-30",D116&lt;=40,"31-40",D116&lt;=50,"41-50",D116&lt;=60,"51-60",TRUE,"60+")</f>
        <v>51-60</v>
      </c>
      <c r="M116" t="str">
        <f>_xlfn.IFS(K116&lt;500,"Low Spend",K116&lt;=2000,"Medium Spend",K116&lt;=5000,"High Spend",TRUE,"Premium Spend")</f>
        <v>Low Spend</v>
      </c>
      <c r="N116" t="str">
        <f>_xlfn.IFS(F116=1,"1 Item",F116&lt;=3,"2-3 Items",F116&lt;=5,"4-5 Items",TRUE,"6+ Items")</f>
        <v>4-5 Items</v>
      </c>
      <c r="O116" t="str">
        <f>TEXT(I116,"mmm")</f>
        <v>Oct</v>
      </c>
      <c r="P116">
        <f>MONTH(I116)</f>
        <v>10</v>
      </c>
      <c r="Q116">
        <f>YEAR(I116)</f>
        <v>2022</v>
      </c>
      <c r="R116" t="str">
        <f>IF(K116&gt;=5000,"High Value","Regular")</f>
        <v>Regular</v>
      </c>
      <c r="S116" t="str">
        <f>IF(F116&gt;=4,"Bulk Order","Normal Order")</f>
        <v>Bulk Order</v>
      </c>
    </row>
    <row r="117" spans="1:19" x14ac:dyDescent="0.3">
      <c r="A117" t="s">
        <v>790</v>
      </c>
      <c r="B117" t="s">
        <v>789</v>
      </c>
      <c r="C117" t="s">
        <v>12</v>
      </c>
      <c r="D117">
        <v>35</v>
      </c>
      <c r="E117" t="s">
        <v>8</v>
      </c>
      <c r="F117">
        <v>2</v>
      </c>
      <c r="G117">
        <v>600.16</v>
      </c>
      <c r="H117" t="s">
        <v>15</v>
      </c>
      <c r="I117" s="1">
        <v>44573</v>
      </c>
      <c r="J117" t="s">
        <v>6</v>
      </c>
      <c r="K117">
        <f>F117*G117</f>
        <v>1200.32</v>
      </c>
      <c r="L117" t="str">
        <f>_xlfn.IFS(D117&lt;20,"Below 20",D117&lt;=30,"20-30",D117&lt;=40,"31-40",D117&lt;=50,"41-50",D117&lt;=60,"51-60",TRUE,"60+")</f>
        <v>31-40</v>
      </c>
      <c r="M117" t="str">
        <f>_xlfn.IFS(K117&lt;500,"Low Spend",K117&lt;=2000,"Medium Spend",K117&lt;=5000,"High Spend",TRUE,"Premium Spend")</f>
        <v>Medium Spend</v>
      </c>
      <c r="N117" t="str">
        <f>_xlfn.IFS(F117=1,"1 Item",F117&lt;=3,"2-3 Items",F117&lt;=5,"4-5 Items",TRUE,"6+ Items")</f>
        <v>2-3 Items</v>
      </c>
      <c r="O117" t="str">
        <f>TEXT(I117,"mmm")</f>
        <v>Jan</v>
      </c>
      <c r="P117">
        <f>MONTH(I117)</f>
        <v>1</v>
      </c>
      <c r="Q117">
        <f>YEAR(I117)</f>
        <v>2022</v>
      </c>
      <c r="R117" t="str">
        <f>IF(K117&gt;=5000,"High Value","Regular")</f>
        <v>Regular</v>
      </c>
      <c r="S117" t="str">
        <f>IF(F117&gt;=4,"Bulk Order","Normal Order")</f>
        <v>Normal Order</v>
      </c>
    </row>
    <row r="118" spans="1:19" x14ac:dyDescent="0.3">
      <c r="A118" t="s">
        <v>788</v>
      </c>
      <c r="B118" t="s">
        <v>787</v>
      </c>
      <c r="C118" t="s">
        <v>3</v>
      </c>
      <c r="D118">
        <v>60</v>
      </c>
      <c r="E118" t="s">
        <v>2</v>
      </c>
      <c r="F118">
        <v>4</v>
      </c>
      <c r="G118">
        <v>143.36000000000001</v>
      </c>
      <c r="H118" t="s">
        <v>7</v>
      </c>
      <c r="I118" s="1">
        <v>44354</v>
      </c>
      <c r="J118" t="s">
        <v>11</v>
      </c>
      <c r="K118">
        <f>F118*G118</f>
        <v>573.44000000000005</v>
      </c>
      <c r="L118" t="str">
        <f>_xlfn.IFS(D118&lt;20,"Below 20",D118&lt;=30,"20-30",D118&lt;=40,"31-40",D118&lt;=50,"41-50",D118&lt;=60,"51-60",TRUE,"60+")</f>
        <v>51-60</v>
      </c>
      <c r="M118" t="str">
        <f>_xlfn.IFS(K118&lt;500,"Low Spend",K118&lt;=2000,"Medium Spend",K118&lt;=5000,"High Spend",TRUE,"Premium Spend")</f>
        <v>Medium Spend</v>
      </c>
      <c r="N118" t="str">
        <f>_xlfn.IFS(F118=1,"1 Item",F118&lt;=3,"2-3 Items",F118&lt;=5,"4-5 Items",TRUE,"6+ Items")</f>
        <v>4-5 Items</v>
      </c>
      <c r="O118" t="str">
        <f>TEXT(I118,"mmm")</f>
        <v>Jun</v>
      </c>
      <c r="P118">
        <f>MONTH(I118)</f>
        <v>6</v>
      </c>
      <c r="Q118">
        <f>YEAR(I118)</f>
        <v>2021</v>
      </c>
      <c r="R118" t="str">
        <f>IF(K118&gt;=5000,"High Value","Regular")</f>
        <v>Regular</v>
      </c>
      <c r="S118" t="str">
        <f>IF(F118&gt;=4,"Bulk Order","Normal Order")</f>
        <v>Bulk Order</v>
      </c>
    </row>
    <row r="119" spans="1:19" x14ac:dyDescent="0.3">
      <c r="A119" t="s">
        <v>786</v>
      </c>
      <c r="B119" t="s">
        <v>785</v>
      </c>
      <c r="C119" t="s">
        <v>3</v>
      </c>
      <c r="D119">
        <v>32</v>
      </c>
      <c r="E119" t="s">
        <v>8</v>
      </c>
      <c r="F119">
        <v>1</v>
      </c>
      <c r="G119">
        <v>300.08</v>
      </c>
      <c r="H119" t="s">
        <v>1</v>
      </c>
      <c r="I119" s="1">
        <v>44941</v>
      </c>
      <c r="J119" t="s">
        <v>97</v>
      </c>
      <c r="K119">
        <f>F119*G119</f>
        <v>300.08</v>
      </c>
      <c r="L119" t="str">
        <f>_xlfn.IFS(D119&lt;20,"Below 20",D119&lt;=30,"20-30",D119&lt;=40,"31-40",D119&lt;=50,"41-50",D119&lt;=60,"51-60",TRUE,"60+")</f>
        <v>31-40</v>
      </c>
      <c r="M119" t="str">
        <f>_xlfn.IFS(K119&lt;500,"Low Spend",K119&lt;=2000,"Medium Spend",K119&lt;=5000,"High Spend",TRUE,"Premium Spend")</f>
        <v>Low Spend</v>
      </c>
      <c r="N119" t="str">
        <f>_xlfn.IFS(F119=1,"1 Item",F119&lt;=3,"2-3 Items",F119&lt;=5,"4-5 Items",TRUE,"6+ Items")</f>
        <v>1 Item</v>
      </c>
      <c r="O119" t="str">
        <f>TEXT(I119,"mmm")</f>
        <v>Jan</v>
      </c>
      <c r="P119">
        <f>MONTH(I119)</f>
        <v>1</v>
      </c>
      <c r="Q119">
        <f>YEAR(I119)</f>
        <v>2023</v>
      </c>
      <c r="R119" t="str">
        <f>IF(K119&gt;=5000,"High Value","Regular")</f>
        <v>Regular</v>
      </c>
      <c r="S119" t="str">
        <f>IF(F119&gt;=4,"Bulk Order","Normal Order")</f>
        <v>Normal Order</v>
      </c>
    </row>
    <row r="120" spans="1:19" x14ac:dyDescent="0.3">
      <c r="A120" t="s">
        <v>784</v>
      </c>
      <c r="B120" t="s">
        <v>783</v>
      </c>
      <c r="C120" t="s">
        <v>12</v>
      </c>
      <c r="D120">
        <v>27</v>
      </c>
      <c r="E120" t="s">
        <v>8</v>
      </c>
      <c r="F120">
        <v>4</v>
      </c>
      <c r="G120">
        <v>1200.32</v>
      </c>
      <c r="H120" t="s">
        <v>1</v>
      </c>
      <c r="I120" s="1">
        <v>44511</v>
      </c>
      <c r="J120" t="s">
        <v>28</v>
      </c>
      <c r="K120">
        <f>F120*G120</f>
        <v>4801.28</v>
      </c>
      <c r="L120" t="str">
        <f>_xlfn.IFS(D120&lt;20,"Below 20",D120&lt;=30,"20-30",D120&lt;=40,"31-40",D120&lt;=50,"41-50",D120&lt;=60,"51-60",TRUE,"60+")</f>
        <v>20-30</v>
      </c>
      <c r="M120" t="str">
        <f>_xlfn.IFS(K120&lt;500,"Low Spend",K120&lt;=2000,"Medium Spend",K120&lt;=5000,"High Spend",TRUE,"Premium Spend")</f>
        <v>High Spend</v>
      </c>
      <c r="N120" t="str">
        <f>_xlfn.IFS(F120=1,"1 Item",F120&lt;=3,"2-3 Items",F120&lt;=5,"4-5 Items",TRUE,"6+ Items")</f>
        <v>4-5 Items</v>
      </c>
      <c r="O120" t="str">
        <f>TEXT(I120,"mmm")</f>
        <v>Nov</v>
      </c>
      <c r="P120">
        <f>MONTH(I120)</f>
        <v>11</v>
      </c>
      <c r="Q120">
        <f>YEAR(I120)</f>
        <v>2021</v>
      </c>
      <c r="R120" t="str">
        <f>IF(K120&gt;=5000,"High Value","Regular")</f>
        <v>Regular</v>
      </c>
      <c r="S120" t="str">
        <f>IF(F120&gt;=4,"Bulk Order","Normal Order")</f>
        <v>Bulk Order</v>
      </c>
    </row>
    <row r="121" spans="1:19" x14ac:dyDescent="0.3">
      <c r="A121" t="s">
        <v>782</v>
      </c>
      <c r="B121" t="s">
        <v>781</v>
      </c>
      <c r="C121" t="s">
        <v>3</v>
      </c>
      <c r="D121">
        <v>56</v>
      </c>
      <c r="E121" t="s">
        <v>8</v>
      </c>
      <c r="F121">
        <v>2</v>
      </c>
      <c r="G121">
        <v>600.16</v>
      </c>
      <c r="H121" t="s">
        <v>1</v>
      </c>
      <c r="I121" s="1">
        <v>44825</v>
      </c>
      <c r="J121" t="s">
        <v>0</v>
      </c>
      <c r="K121">
        <f>F121*G121</f>
        <v>1200.32</v>
      </c>
      <c r="L121" t="str">
        <f>_xlfn.IFS(D121&lt;20,"Below 20",D121&lt;=30,"20-30",D121&lt;=40,"31-40",D121&lt;=50,"41-50",D121&lt;=60,"51-60",TRUE,"60+")</f>
        <v>51-60</v>
      </c>
      <c r="M121" t="str">
        <f>_xlfn.IFS(K121&lt;500,"Low Spend",K121&lt;=2000,"Medium Spend",K121&lt;=5000,"High Spend",TRUE,"Premium Spend")</f>
        <v>Medium Spend</v>
      </c>
      <c r="N121" t="str">
        <f>_xlfn.IFS(F121=1,"1 Item",F121&lt;=3,"2-3 Items",F121&lt;=5,"4-5 Items",TRUE,"6+ Items")</f>
        <v>2-3 Items</v>
      </c>
      <c r="O121" t="str">
        <f>TEXT(I121,"mmm")</f>
        <v>Sep</v>
      </c>
      <c r="P121">
        <f>MONTH(I121)</f>
        <v>9</v>
      </c>
      <c r="Q121">
        <f>YEAR(I121)</f>
        <v>2022</v>
      </c>
      <c r="R121" t="str">
        <f>IF(K121&gt;=5000,"High Value","Regular")</f>
        <v>Regular</v>
      </c>
      <c r="S121" t="str">
        <f>IF(F121&gt;=4,"Bulk Order","Normal Order")</f>
        <v>Normal Order</v>
      </c>
    </row>
    <row r="122" spans="1:19" x14ac:dyDescent="0.3">
      <c r="A122" t="s">
        <v>780</v>
      </c>
      <c r="B122" t="s">
        <v>779</v>
      </c>
      <c r="C122" t="s">
        <v>12</v>
      </c>
      <c r="D122">
        <v>35</v>
      </c>
      <c r="E122" t="s">
        <v>19</v>
      </c>
      <c r="F122">
        <v>4</v>
      </c>
      <c r="G122">
        <v>162.63999999999999</v>
      </c>
      <c r="H122" t="s">
        <v>7</v>
      </c>
      <c r="I122" s="1">
        <v>44346</v>
      </c>
      <c r="J122" t="s">
        <v>11</v>
      </c>
      <c r="K122">
        <f>F122*G122</f>
        <v>650.55999999999995</v>
      </c>
      <c r="L122" t="str">
        <f>_xlfn.IFS(D122&lt;20,"Below 20",D122&lt;=30,"20-30",D122&lt;=40,"31-40",D122&lt;=50,"41-50",D122&lt;=60,"51-60",TRUE,"60+")</f>
        <v>31-40</v>
      </c>
      <c r="M122" t="str">
        <f>_xlfn.IFS(K122&lt;500,"Low Spend",K122&lt;=2000,"Medium Spend",K122&lt;=5000,"High Spend",TRUE,"Premium Spend")</f>
        <v>Medium Spend</v>
      </c>
      <c r="N122" t="str">
        <f>_xlfn.IFS(F122=1,"1 Item",F122&lt;=3,"2-3 Items",F122&lt;=5,"4-5 Items",TRUE,"6+ Items")</f>
        <v>4-5 Items</v>
      </c>
      <c r="O122" t="str">
        <f>TEXT(I122,"mmm")</f>
        <v>May</v>
      </c>
      <c r="P122">
        <f>MONTH(I122)</f>
        <v>5</v>
      </c>
      <c r="Q122">
        <f>YEAR(I122)</f>
        <v>2021</v>
      </c>
      <c r="R122" t="str">
        <f>IF(K122&gt;=5000,"High Value","Regular")</f>
        <v>Regular</v>
      </c>
      <c r="S122" t="str">
        <f>IF(F122&gt;=4,"Bulk Order","Normal Order")</f>
        <v>Bulk Order</v>
      </c>
    </row>
    <row r="123" spans="1:19" x14ac:dyDescent="0.3">
      <c r="A123" t="s">
        <v>778</v>
      </c>
      <c r="B123" t="s">
        <v>777</v>
      </c>
      <c r="C123" t="s">
        <v>3</v>
      </c>
      <c r="D123">
        <v>68</v>
      </c>
      <c r="E123" t="s">
        <v>8</v>
      </c>
      <c r="F123">
        <v>1</v>
      </c>
      <c r="G123">
        <v>300.08</v>
      </c>
      <c r="H123" t="s">
        <v>1</v>
      </c>
      <c r="I123" s="1">
        <v>44553</v>
      </c>
      <c r="J123" t="s">
        <v>68</v>
      </c>
      <c r="K123">
        <f>F123*G123</f>
        <v>300.08</v>
      </c>
      <c r="L123" t="str">
        <f>_xlfn.IFS(D123&lt;20,"Below 20",D123&lt;=30,"20-30",D123&lt;=40,"31-40",D123&lt;=50,"41-50",D123&lt;=60,"51-60",TRUE,"60+")</f>
        <v>60+</v>
      </c>
      <c r="M123" t="str">
        <f>_xlfn.IFS(K123&lt;500,"Low Spend",K123&lt;=2000,"Medium Spend",K123&lt;=5000,"High Spend",TRUE,"Premium Spend")</f>
        <v>Low Spend</v>
      </c>
      <c r="N123" t="str">
        <f>_xlfn.IFS(F123=1,"1 Item",F123&lt;=3,"2-3 Items",F123&lt;=5,"4-5 Items",TRUE,"6+ Items")</f>
        <v>1 Item</v>
      </c>
      <c r="O123" t="str">
        <f>TEXT(I123,"mmm")</f>
        <v>Dec</v>
      </c>
      <c r="P123">
        <f>MONTH(I123)</f>
        <v>12</v>
      </c>
      <c r="Q123">
        <f>YEAR(I123)</f>
        <v>2021</v>
      </c>
      <c r="R123" t="str">
        <f>IF(K123&gt;=5000,"High Value","Regular")</f>
        <v>Regular</v>
      </c>
      <c r="S123" t="str">
        <f>IF(F123&gt;=4,"Bulk Order","Normal Order")</f>
        <v>Normal Order</v>
      </c>
    </row>
    <row r="124" spans="1:19" x14ac:dyDescent="0.3">
      <c r="A124" t="s">
        <v>776</v>
      </c>
      <c r="B124" t="s">
        <v>775</v>
      </c>
      <c r="C124" t="s">
        <v>3</v>
      </c>
      <c r="D124">
        <v>64</v>
      </c>
      <c r="E124" t="s">
        <v>112</v>
      </c>
      <c r="F124">
        <v>2</v>
      </c>
      <c r="G124">
        <v>2100</v>
      </c>
      <c r="H124" t="s">
        <v>15</v>
      </c>
      <c r="I124" s="1">
        <v>44681</v>
      </c>
      <c r="J124" t="s">
        <v>28</v>
      </c>
      <c r="K124">
        <f>F124*G124</f>
        <v>4200</v>
      </c>
      <c r="L124" t="str">
        <f>_xlfn.IFS(D124&lt;20,"Below 20",D124&lt;=30,"20-30",D124&lt;=40,"31-40",D124&lt;=50,"41-50",D124&lt;=60,"51-60",TRUE,"60+")</f>
        <v>60+</v>
      </c>
      <c r="M124" t="str">
        <f>_xlfn.IFS(K124&lt;500,"Low Spend",K124&lt;=2000,"Medium Spend",K124&lt;=5000,"High Spend",TRUE,"Premium Spend")</f>
        <v>High Spend</v>
      </c>
      <c r="N124" t="str">
        <f>_xlfn.IFS(F124=1,"1 Item",F124&lt;=3,"2-3 Items",F124&lt;=5,"4-5 Items",TRUE,"6+ Items")</f>
        <v>2-3 Items</v>
      </c>
      <c r="O124" t="str">
        <f>TEXT(I124,"mmm")</f>
        <v>Apr</v>
      </c>
      <c r="P124">
        <f>MONTH(I124)</f>
        <v>4</v>
      </c>
      <c r="Q124">
        <f>YEAR(I124)</f>
        <v>2022</v>
      </c>
      <c r="R124" t="str">
        <f>IF(K124&gt;=5000,"High Value","Regular")</f>
        <v>Regular</v>
      </c>
      <c r="S124" t="str">
        <f>IF(F124&gt;=4,"Bulk Order","Normal Order")</f>
        <v>Normal Order</v>
      </c>
    </row>
    <row r="125" spans="1:19" x14ac:dyDescent="0.3">
      <c r="A125" t="s">
        <v>774</v>
      </c>
      <c r="B125" t="s">
        <v>773</v>
      </c>
      <c r="C125" t="s">
        <v>3</v>
      </c>
      <c r="D125">
        <v>60</v>
      </c>
      <c r="E125" t="s">
        <v>2</v>
      </c>
      <c r="F125">
        <v>4</v>
      </c>
      <c r="G125">
        <v>143.36000000000001</v>
      </c>
      <c r="H125" t="s">
        <v>15</v>
      </c>
      <c r="I125" s="1">
        <v>44354</v>
      </c>
      <c r="J125" t="s">
        <v>97</v>
      </c>
      <c r="K125">
        <f>F125*G125</f>
        <v>573.44000000000005</v>
      </c>
      <c r="L125" t="str">
        <f>_xlfn.IFS(D125&lt;20,"Below 20",D125&lt;=30,"20-30",D125&lt;=40,"31-40",D125&lt;=50,"41-50",D125&lt;=60,"51-60",TRUE,"60+")</f>
        <v>51-60</v>
      </c>
      <c r="M125" t="str">
        <f>_xlfn.IFS(K125&lt;500,"Low Spend",K125&lt;=2000,"Medium Spend",K125&lt;=5000,"High Spend",TRUE,"Premium Spend")</f>
        <v>Medium Spend</v>
      </c>
      <c r="N125" t="str">
        <f>_xlfn.IFS(F125=1,"1 Item",F125&lt;=3,"2-3 Items",F125&lt;=5,"4-5 Items",TRUE,"6+ Items")</f>
        <v>4-5 Items</v>
      </c>
      <c r="O125" t="str">
        <f>TEXT(I125,"mmm")</f>
        <v>Jun</v>
      </c>
      <c r="P125">
        <f>MONTH(I125)</f>
        <v>6</v>
      </c>
      <c r="Q125">
        <f>YEAR(I125)</f>
        <v>2021</v>
      </c>
      <c r="R125" t="str">
        <f>IF(K125&gt;=5000,"High Value","Regular")</f>
        <v>Regular</v>
      </c>
      <c r="S125" t="str">
        <f>IF(F125&gt;=4,"Bulk Order","Normal Order")</f>
        <v>Bulk Order</v>
      </c>
    </row>
    <row r="126" spans="1:19" x14ac:dyDescent="0.3">
      <c r="A126" t="s">
        <v>772</v>
      </c>
      <c r="B126" t="s">
        <v>771</v>
      </c>
      <c r="C126" t="s">
        <v>12</v>
      </c>
      <c r="D126">
        <v>64</v>
      </c>
      <c r="E126" t="s">
        <v>2</v>
      </c>
      <c r="F126">
        <v>5</v>
      </c>
      <c r="G126">
        <v>179.2</v>
      </c>
      <c r="H126" t="s">
        <v>7</v>
      </c>
      <c r="I126" s="1">
        <v>44613</v>
      </c>
      <c r="J126" t="s">
        <v>28</v>
      </c>
      <c r="K126">
        <f>F126*G126</f>
        <v>896</v>
      </c>
      <c r="L126" t="str">
        <f>_xlfn.IFS(D126&lt;20,"Below 20",D126&lt;=30,"20-30",D126&lt;=40,"31-40",D126&lt;=50,"41-50",D126&lt;=60,"51-60",TRUE,"60+")</f>
        <v>60+</v>
      </c>
      <c r="M126" t="str">
        <f>_xlfn.IFS(K126&lt;500,"Low Spend",K126&lt;=2000,"Medium Spend",K126&lt;=5000,"High Spend",TRUE,"Premium Spend")</f>
        <v>Medium Spend</v>
      </c>
      <c r="N126" t="str">
        <f>_xlfn.IFS(F126=1,"1 Item",F126&lt;=3,"2-3 Items",F126&lt;=5,"4-5 Items",TRUE,"6+ Items")</f>
        <v>4-5 Items</v>
      </c>
      <c r="O126" t="str">
        <f>TEXT(I126,"mmm")</f>
        <v>Feb</v>
      </c>
      <c r="P126">
        <f>MONTH(I126)</f>
        <v>2</v>
      </c>
      <c r="Q126">
        <f>YEAR(I126)</f>
        <v>2022</v>
      </c>
      <c r="R126" t="str">
        <f>IF(K126&gt;=5000,"High Value","Regular")</f>
        <v>Regular</v>
      </c>
      <c r="S126" t="str">
        <f>IF(F126&gt;=4,"Bulk Order","Normal Order")</f>
        <v>Bulk Order</v>
      </c>
    </row>
    <row r="127" spans="1:19" x14ac:dyDescent="0.3">
      <c r="A127" t="s">
        <v>770</v>
      </c>
      <c r="B127" t="s">
        <v>769</v>
      </c>
      <c r="C127" t="s">
        <v>3</v>
      </c>
      <c r="D127">
        <v>41</v>
      </c>
      <c r="E127" t="s">
        <v>8</v>
      </c>
      <c r="F127">
        <v>3</v>
      </c>
      <c r="G127">
        <v>900.24</v>
      </c>
      <c r="H127" t="s">
        <v>7</v>
      </c>
      <c r="I127" s="1">
        <v>44434</v>
      </c>
      <c r="J127" t="s">
        <v>38</v>
      </c>
      <c r="K127">
        <f>F127*G127</f>
        <v>2700.7200000000003</v>
      </c>
      <c r="L127" t="str">
        <f>_xlfn.IFS(D127&lt;20,"Below 20",D127&lt;=30,"20-30",D127&lt;=40,"31-40",D127&lt;=50,"41-50",D127&lt;=60,"51-60",TRUE,"60+")</f>
        <v>41-50</v>
      </c>
      <c r="M127" t="str">
        <f>_xlfn.IFS(K127&lt;500,"Low Spend",K127&lt;=2000,"Medium Spend",K127&lt;=5000,"High Spend",TRUE,"Premium Spend")</f>
        <v>High Spend</v>
      </c>
      <c r="N127" t="str">
        <f>_xlfn.IFS(F127=1,"1 Item",F127&lt;=3,"2-3 Items",F127&lt;=5,"4-5 Items",TRUE,"6+ Items")</f>
        <v>2-3 Items</v>
      </c>
      <c r="O127" t="str">
        <f>TEXT(I127,"mmm")</f>
        <v>Aug</v>
      </c>
      <c r="P127">
        <f>MONTH(I127)</f>
        <v>8</v>
      </c>
      <c r="Q127">
        <f>YEAR(I127)</f>
        <v>2021</v>
      </c>
      <c r="R127" t="str">
        <f>IF(K127&gt;=5000,"High Value","Regular")</f>
        <v>Regular</v>
      </c>
      <c r="S127" t="str">
        <f>IF(F127&gt;=4,"Bulk Order","Normal Order")</f>
        <v>Normal Order</v>
      </c>
    </row>
    <row r="128" spans="1:19" x14ac:dyDescent="0.3">
      <c r="A128" t="s">
        <v>768</v>
      </c>
      <c r="B128" t="s">
        <v>767</v>
      </c>
      <c r="C128" t="s">
        <v>12</v>
      </c>
      <c r="D128">
        <v>30</v>
      </c>
      <c r="E128" t="s">
        <v>16</v>
      </c>
      <c r="F128">
        <v>5</v>
      </c>
      <c r="G128">
        <v>26.15</v>
      </c>
      <c r="H128" t="s">
        <v>15</v>
      </c>
      <c r="I128" s="1">
        <v>44545</v>
      </c>
      <c r="J128" t="s">
        <v>11</v>
      </c>
      <c r="K128">
        <f>F128*G128</f>
        <v>130.75</v>
      </c>
      <c r="L128" t="str">
        <f>_xlfn.IFS(D128&lt;20,"Below 20",D128&lt;=30,"20-30",D128&lt;=40,"31-40",D128&lt;=50,"41-50",D128&lt;=60,"51-60",TRUE,"60+")</f>
        <v>20-30</v>
      </c>
      <c r="M128" t="str">
        <f>_xlfn.IFS(K128&lt;500,"Low Spend",K128&lt;=2000,"Medium Spend",K128&lt;=5000,"High Spend",TRUE,"Premium Spend")</f>
        <v>Low Spend</v>
      </c>
      <c r="N128" t="str">
        <f>_xlfn.IFS(F128=1,"1 Item",F128&lt;=3,"2-3 Items",F128&lt;=5,"4-5 Items",TRUE,"6+ Items")</f>
        <v>4-5 Items</v>
      </c>
      <c r="O128" t="str">
        <f>TEXT(I128,"mmm")</f>
        <v>Dec</v>
      </c>
      <c r="P128">
        <f>MONTH(I128)</f>
        <v>12</v>
      </c>
      <c r="Q128">
        <f>YEAR(I128)</f>
        <v>2021</v>
      </c>
      <c r="R128" t="str">
        <f>IF(K128&gt;=5000,"High Value","Regular")</f>
        <v>Regular</v>
      </c>
      <c r="S128" t="str">
        <f>IF(F128&gt;=4,"Bulk Order","Normal Order")</f>
        <v>Bulk Order</v>
      </c>
    </row>
    <row r="129" spans="1:19" x14ac:dyDescent="0.3">
      <c r="A129" t="s">
        <v>766</v>
      </c>
      <c r="B129" t="s">
        <v>765</v>
      </c>
      <c r="C129" t="s">
        <v>12</v>
      </c>
      <c r="D129">
        <v>40</v>
      </c>
      <c r="E129" t="s">
        <v>8</v>
      </c>
      <c r="F129">
        <v>1</v>
      </c>
      <c r="G129">
        <v>300.08</v>
      </c>
      <c r="H129" t="s">
        <v>7</v>
      </c>
      <c r="I129" s="1">
        <v>44247</v>
      </c>
      <c r="J129" t="s">
        <v>22</v>
      </c>
      <c r="K129">
        <f>F129*G129</f>
        <v>300.08</v>
      </c>
      <c r="L129" t="str">
        <f>_xlfn.IFS(D129&lt;20,"Below 20",D129&lt;=30,"20-30",D129&lt;=40,"31-40",D129&lt;=50,"41-50",D129&lt;=60,"51-60",TRUE,"60+")</f>
        <v>31-40</v>
      </c>
      <c r="M129" t="str">
        <f>_xlfn.IFS(K129&lt;500,"Low Spend",K129&lt;=2000,"Medium Spend",K129&lt;=5000,"High Spend",TRUE,"Premium Spend")</f>
        <v>Low Spend</v>
      </c>
      <c r="N129" t="str">
        <f>_xlfn.IFS(F129=1,"1 Item",F129&lt;=3,"2-3 Items",F129&lt;=5,"4-5 Items",TRUE,"6+ Items")</f>
        <v>1 Item</v>
      </c>
      <c r="O129" t="str">
        <f>TEXT(I129,"mmm")</f>
        <v>Feb</v>
      </c>
      <c r="P129">
        <f>MONTH(I129)</f>
        <v>2</v>
      </c>
      <c r="Q129">
        <f>YEAR(I129)</f>
        <v>2021</v>
      </c>
      <c r="R129" t="str">
        <f>IF(K129&gt;=5000,"High Value","Regular")</f>
        <v>Regular</v>
      </c>
      <c r="S129" t="str">
        <f>IF(F129&gt;=4,"Bulk Order","Normal Order")</f>
        <v>Normal Order</v>
      </c>
    </row>
    <row r="130" spans="1:19" x14ac:dyDescent="0.3">
      <c r="A130" t="s">
        <v>764</v>
      </c>
      <c r="B130" t="s">
        <v>763</v>
      </c>
      <c r="C130" t="s">
        <v>3</v>
      </c>
      <c r="D130">
        <v>29</v>
      </c>
      <c r="E130" t="s">
        <v>8</v>
      </c>
      <c r="F130">
        <v>2</v>
      </c>
      <c r="G130">
        <v>600.16</v>
      </c>
      <c r="H130" t="s">
        <v>15</v>
      </c>
      <c r="I130" s="1">
        <v>44477</v>
      </c>
      <c r="J130" t="s">
        <v>28</v>
      </c>
      <c r="K130">
        <f>F130*G130</f>
        <v>1200.32</v>
      </c>
      <c r="L130" t="str">
        <f>_xlfn.IFS(D130&lt;20,"Below 20",D130&lt;=30,"20-30",D130&lt;=40,"31-40",D130&lt;=50,"41-50",D130&lt;=60,"51-60",TRUE,"60+")</f>
        <v>20-30</v>
      </c>
      <c r="M130" t="str">
        <f>_xlfn.IFS(K130&lt;500,"Low Spend",K130&lt;=2000,"Medium Spend",K130&lt;=5000,"High Spend",TRUE,"Premium Spend")</f>
        <v>Medium Spend</v>
      </c>
      <c r="N130" t="str">
        <f>_xlfn.IFS(F130=1,"1 Item",F130&lt;=3,"2-3 Items",F130&lt;=5,"4-5 Items",TRUE,"6+ Items")</f>
        <v>2-3 Items</v>
      </c>
      <c r="O130" t="str">
        <f>TEXT(I130,"mmm")</f>
        <v>Oct</v>
      </c>
      <c r="P130">
        <f>MONTH(I130)</f>
        <v>10</v>
      </c>
      <c r="Q130">
        <f>YEAR(I130)</f>
        <v>2021</v>
      </c>
      <c r="R130" t="str">
        <f>IF(K130&gt;=5000,"High Value","Regular")</f>
        <v>Regular</v>
      </c>
      <c r="S130" t="str">
        <f>IF(F130&gt;=4,"Bulk Order","Normal Order")</f>
        <v>Normal Order</v>
      </c>
    </row>
    <row r="131" spans="1:19" x14ac:dyDescent="0.3">
      <c r="A131" t="s">
        <v>762</v>
      </c>
      <c r="B131" t="s">
        <v>761</v>
      </c>
      <c r="C131" t="s">
        <v>12</v>
      </c>
      <c r="D131">
        <v>25</v>
      </c>
      <c r="E131" t="s">
        <v>8</v>
      </c>
      <c r="F131">
        <v>3</v>
      </c>
      <c r="G131">
        <v>900.24</v>
      </c>
      <c r="H131" t="s">
        <v>15</v>
      </c>
      <c r="I131" s="1">
        <v>44774</v>
      </c>
      <c r="J131" t="s">
        <v>22</v>
      </c>
      <c r="K131">
        <f>F131*G131</f>
        <v>2700.7200000000003</v>
      </c>
      <c r="L131" t="str">
        <f>_xlfn.IFS(D131&lt;20,"Below 20",D131&lt;=30,"20-30",D131&lt;=40,"31-40",D131&lt;=50,"41-50",D131&lt;=60,"51-60",TRUE,"60+")</f>
        <v>20-30</v>
      </c>
      <c r="M131" t="str">
        <f>_xlfn.IFS(K131&lt;500,"Low Spend",K131&lt;=2000,"Medium Spend",K131&lt;=5000,"High Spend",TRUE,"Premium Spend")</f>
        <v>High Spend</v>
      </c>
      <c r="N131" t="str">
        <f>_xlfn.IFS(F131=1,"1 Item",F131&lt;=3,"2-3 Items",F131&lt;=5,"4-5 Items",TRUE,"6+ Items")</f>
        <v>2-3 Items</v>
      </c>
      <c r="O131" t="str">
        <f>TEXT(I131,"mmm")</f>
        <v>Aug</v>
      </c>
      <c r="P131">
        <f>MONTH(I131)</f>
        <v>8</v>
      </c>
      <c r="Q131">
        <f>YEAR(I131)</f>
        <v>2022</v>
      </c>
      <c r="R131" t="str">
        <f>IF(K131&gt;=5000,"High Value","Regular")</f>
        <v>Regular</v>
      </c>
      <c r="S131" t="str">
        <f>IF(F131&gt;=4,"Bulk Order","Normal Order")</f>
        <v>Normal Order</v>
      </c>
    </row>
    <row r="132" spans="1:19" x14ac:dyDescent="0.3">
      <c r="A132" t="s">
        <v>760</v>
      </c>
      <c r="B132" t="s">
        <v>759</v>
      </c>
      <c r="C132" t="s">
        <v>3</v>
      </c>
      <c r="D132">
        <v>60</v>
      </c>
      <c r="E132" t="s">
        <v>8</v>
      </c>
      <c r="F132">
        <v>4</v>
      </c>
      <c r="G132">
        <v>1200.32</v>
      </c>
      <c r="H132" t="s">
        <v>15</v>
      </c>
      <c r="I132" s="1">
        <v>44448</v>
      </c>
      <c r="J132" t="s">
        <v>28</v>
      </c>
      <c r="K132">
        <f>F132*G132</f>
        <v>4801.28</v>
      </c>
      <c r="L132" t="str">
        <f>_xlfn.IFS(D132&lt;20,"Below 20",D132&lt;=30,"20-30",D132&lt;=40,"31-40",D132&lt;=50,"41-50",D132&lt;=60,"51-60",TRUE,"60+")</f>
        <v>51-60</v>
      </c>
      <c r="M132" t="str">
        <f>_xlfn.IFS(K132&lt;500,"Low Spend",K132&lt;=2000,"Medium Spend",K132&lt;=5000,"High Spend",TRUE,"Premium Spend")</f>
        <v>High Spend</v>
      </c>
      <c r="N132" t="str">
        <f>_xlfn.IFS(F132=1,"1 Item",F132&lt;=3,"2-3 Items",F132&lt;=5,"4-5 Items",TRUE,"6+ Items")</f>
        <v>4-5 Items</v>
      </c>
      <c r="O132" t="str">
        <f>TEXT(I132,"mmm")</f>
        <v>Sep</v>
      </c>
      <c r="P132">
        <f>MONTH(I132)</f>
        <v>9</v>
      </c>
      <c r="Q132">
        <f>YEAR(I132)</f>
        <v>2021</v>
      </c>
      <c r="R132" t="str">
        <f>IF(K132&gt;=5000,"High Value","Regular")</f>
        <v>Regular</v>
      </c>
      <c r="S132" t="str">
        <f>IF(F132&gt;=4,"Bulk Order","Normal Order")</f>
        <v>Bulk Order</v>
      </c>
    </row>
    <row r="133" spans="1:19" x14ac:dyDescent="0.3">
      <c r="A133" t="s">
        <v>758</v>
      </c>
      <c r="B133" t="s">
        <v>757</v>
      </c>
      <c r="C133" t="s">
        <v>3</v>
      </c>
      <c r="D133">
        <v>42</v>
      </c>
      <c r="E133" t="s">
        <v>16</v>
      </c>
      <c r="F133">
        <v>5</v>
      </c>
      <c r="G133">
        <v>26.15</v>
      </c>
      <c r="H133" t="s">
        <v>15</v>
      </c>
      <c r="I133" s="1">
        <v>44494</v>
      </c>
      <c r="J133" t="s">
        <v>11</v>
      </c>
      <c r="K133">
        <f>F133*G133</f>
        <v>130.75</v>
      </c>
      <c r="L133" t="str">
        <f>_xlfn.IFS(D133&lt;20,"Below 20",D133&lt;=30,"20-30",D133&lt;=40,"31-40",D133&lt;=50,"41-50",D133&lt;=60,"51-60",TRUE,"60+")</f>
        <v>41-50</v>
      </c>
      <c r="M133" t="str">
        <f>_xlfn.IFS(K133&lt;500,"Low Spend",K133&lt;=2000,"Medium Spend",K133&lt;=5000,"High Spend",TRUE,"Premium Spend")</f>
        <v>Low Spend</v>
      </c>
      <c r="N133" t="str">
        <f>_xlfn.IFS(F133=1,"1 Item",F133&lt;=3,"2-3 Items",F133&lt;=5,"4-5 Items",TRUE,"6+ Items")</f>
        <v>4-5 Items</v>
      </c>
      <c r="O133" t="str">
        <f>TEXT(I133,"mmm")</f>
        <v>Oct</v>
      </c>
      <c r="P133">
        <f>MONTH(I133)</f>
        <v>10</v>
      </c>
      <c r="Q133">
        <f>YEAR(I133)</f>
        <v>2021</v>
      </c>
      <c r="R133" t="str">
        <f>IF(K133&gt;=5000,"High Value","Regular")</f>
        <v>Regular</v>
      </c>
      <c r="S133" t="str">
        <f>IF(F133&gt;=4,"Bulk Order","Normal Order")</f>
        <v>Bulk Order</v>
      </c>
    </row>
    <row r="134" spans="1:19" x14ac:dyDescent="0.3">
      <c r="A134" t="s">
        <v>756</v>
      </c>
      <c r="B134" t="s">
        <v>755</v>
      </c>
      <c r="C134" t="s">
        <v>12</v>
      </c>
      <c r="D134">
        <v>54</v>
      </c>
      <c r="E134" t="s">
        <v>16</v>
      </c>
      <c r="F134">
        <v>1</v>
      </c>
      <c r="G134">
        <v>5.23</v>
      </c>
      <c r="H134" t="s">
        <v>15</v>
      </c>
      <c r="I134" s="1">
        <v>44544</v>
      </c>
      <c r="J134" t="s">
        <v>68</v>
      </c>
      <c r="K134">
        <f>F134*G134</f>
        <v>5.23</v>
      </c>
      <c r="L134" t="str">
        <f>_xlfn.IFS(D134&lt;20,"Below 20",D134&lt;=30,"20-30",D134&lt;=40,"31-40",D134&lt;=50,"41-50",D134&lt;=60,"51-60",TRUE,"60+")</f>
        <v>51-60</v>
      </c>
      <c r="M134" t="str">
        <f>_xlfn.IFS(K134&lt;500,"Low Spend",K134&lt;=2000,"Medium Spend",K134&lt;=5000,"High Spend",TRUE,"Premium Spend")</f>
        <v>Low Spend</v>
      </c>
      <c r="N134" t="str">
        <f>_xlfn.IFS(F134=1,"1 Item",F134&lt;=3,"2-3 Items",F134&lt;=5,"4-5 Items",TRUE,"6+ Items")</f>
        <v>1 Item</v>
      </c>
      <c r="O134" t="str">
        <f>TEXT(I134,"mmm")</f>
        <v>Dec</v>
      </c>
      <c r="P134">
        <f>MONTH(I134)</f>
        <v>12</v>
      </c>
      <c r="Q134">
        <f>YEAR(I134)</f>
        <v>2021</v>
      </c>
      <c r="R134" t="str">
        <f>IF(K134&gt;=5000,"High Value","Regular")</f>
        <v>Regular</v>
      </c>
      <c r="S134" t="str">
        <f>IF(F134&gt;=4,"Bulk Order","Normal Order")</f>
        <v>Normal Order</v>
      </c>
    </row>
    <row r="135" spans="1:19" x14ac:dyDescent="0.3">
      <c r="A135" t="s">
        <v>754</v>
      </c>
      <c r="B135" t="s">
        <v>753</v>
      </c>
      <c r="C135" t="s">
        <v>3</v>
      </c>
      <c r="D135">
        <v>50</v>
      </c>
      <c r="E135" t="s">
        <v>8</v>
      </c>
      <c r="F135">
        <v>5</v>
      </c>
      <c r="G135">
        <v>1500.4</v>
      </c>
      <c r="H135" t="s">
        <v>15</v>
      </c>
      <c r="I135" s="1">
        <v>44367</v>
      </c>
      <c r="J135" t="s">
        <v>28</v>
      </c>
      <c r="K135">
        <f>F135*G135</f>
        <v>7502</v>
      </c>
      <c r="L135" t="str">
        <f>_xlfn.IFS(D135&lt;20,"Below 20",D135&lt;=30,"20-30",D135&lt;=40,"31-40",D135&lt;=50,"41-50",D135&lt;=60,"51-60",TRUE,"60+")</f>
        <v>41-50</v>
      </c>
      <c r="M135" t="str">
        <f>_xlfn.IFS(K135&lt;500,"Low Spend",K135&lt;=2000,"Medium Spend",K135&lt;=5000,"High Spend",TRUE,"Premium Spend")</f>
        <v>Premium Spend</v>
      </c>
      <c r="N135" t="str">
        <f>_xlfn.IFS(F135=1,"1 Item",F135&lt;=3,"2-3 Items",F135&lt;=5,"4-5 Items",TRUE,"6+ Items")</f>
        <v>4-5 Items</v>
      </c>
      <c r="O135" t="str">
        <f>TEXT(I135,"mmm")</f>
        <v>Jun</v>
      </c>
      <c r="P135">
        <f>MONTH(I135)</f>
        <v>6</v>
      </c>
      <c r="Q135">
        <f>YEAR(I135)</f>
        <v>2021</v>
      </c>
      <c r="R135" t="str">
        <f>IF(K135&gt;=5000,"High Value","Regular")</f>
        <v>High Value</v>
      </c>
      <c r="S135" t="str">
        <f>IF(F135&gt;=4,"Bulk Order","Normal Order")</f>
        <v>Bulk Order</v>
      </c>
    </row>
    <row r="136" spans="1:19" x14ac:dyDescent="0.3">
      <c r="A136" t="s">
        <v>752</v>
      </c>
      <c r="B136" t="s">
        <v>751</v>
      </c>
      <c r="C136" t="s">
        <v>12</v>
      </c>
      <c r="D136">
        <v>54</v>
      </c>
      <c r="E136" t="s">
        <v>8</v>
      </c>
      <c r="F136">
        <v>1</v>
      </c>
      <c r="G136">
        <v>300.08</v>
      </c>
      <c r="H136" t="s">
        <v>7</v>
      </c>
      <c r="I136" s="1">
        <v>44293</v>
      </c>
      <c r="J136" t="s">
        <v>68</v>
      </c>
      <c r="K136">
        <f>F136*G136</f>
        <v>300.08</v>
      </c>
      <c r="L136" t="str">
        <f>_xlfn.IFS(D136&lt;20,"Below 20",D136&lt;=30,"20-30",D136&lt;=40,"31-40",D136&lt;=50,"41-50",D136&lt;=60,"51-60",TRUE,"60+")</f>
        <v>51-60</v>
      </c>
      <c r="M136" t="str">
        <f>_xlfn.IFS(K136&lt;500,"Low Spend",K136&lt;=2000,"Medium Spend",K136&lt;=5000,"High Spend",TRUE,"Premium Spend")</f>
        <v>Low Spend</v>
      </c>
      <c r="N136" t="str">
        <f>_xlfn.IFS(F136=1,"1 Item",F136&lt;=3,"2-3 Items",F136&lt;=5,"4-5 Items",TRUE,"6+ Items")</f>
        <v>1 Item</v>
      </c>
      <c r="O136" t="str">
        <f>TEXT(I136,"mmm")</f>
        <v>Apr</v>
      </c>
      <c r="P136">
        <f>MONTH(I136)</f>
        <v>4</v>
      </c>
      <c r="Q136">
        <f>YEAR(I136)</f>
        <v>2021</v>
      </c>
      <c r="R136" t="str">
        <f>IF(K136&gt;=5000,"High Value","Regular")</f>
        <v>Regular</v>
      </c>
      <c r="S136" t="str">
        <f>IF(F136&gt;=4,"Bulk Order","Normal Order")</f>
        <v>Normal Order</v>
      </c>
    </row>
    <row r="137" spans="1:19" x14ac:dyDescent="0.3">
      <c r="A137" t="s">
        <v>750</v>
      </c>
      <c r="B137" t="s">
        <v>749</v>
      </c>
      <c r="C137" t="s">
        <v>3</v>
      </c>
      <c r="D137">
        <v>45</v>
      </c>
      <c r="E137" t="s">
        <v>61</v>
      </c>
      <c r="F137">
        <v>4</v>
      </c>
      <c r="G137">
        <v>60.6</v>
      </c>
      <c r="H137" t="s">
        <v>15</v>
      </c>
      <c r="I137" s="1">
        <v>44535</v>
      </c>
      <c r="J137" t="s">
        <v>11</v>
      </c>
      <c r="K137">
        <f>F137*G137</f>
        <v>242.4</v>
      </c>
      <c r="L137" t="str">
        <f>_xlfn.IFS(D137&lt;20,"Below 20",D137&lt;=30,"20-30",D137&lt;=40,"31-40",D137&lt;=50,"41-50",D137&lt;=60,"51-60",TRUE,"60+")</f>
        <v>41-50</v>
      </c>
      <c r="M137" t="str">
        <f>_xlfn.IFS(K137&lt;500,"Low Spend",K137&lt;=2000,"Medium Spend",K137&lt;=5000,"High Spend",TRUE,"Premium Spend")</f>
        <v>Low Spend</v>
      </c>
      <c r="N137" t="str">
        <f>_xlfn.IFS(F137=1,"1 Item",F137&lt;=3,"2-3 Items",F137&lt;=5,"4-5 Items",TRUE,"6+ Items")</f>
        <v>4-5 Items</v>
      </c>
      <c r="O137" t="str">
        <f>TEXT(I137,"mmm")</f>
        <v>Dec</v>
      </c>
      <c r="P137">
        <f>MONTH(I137)</f>
        <v>12</v>
      </c>
      <c r="Q137">
        <f>YEAR(I137)</f>
        <v>2021</v>
      </c>
      <c r="R137" t="str">
        <f>IF(K137&gt;=5000,"High Value","Regular")</f>
        <v>Regular</v>
      </c>
      <c r="S137" t="str">
        <f>IF(F137&gt;=4,"Bulk Order","Normal Order")</f>
        <v>Bulk Order</v>
      </c>
    </row>
    <row r="138" spans="1:19" x14ac:dyDescent="0.3">
      <c r="A138" t="s">
        <v>748</v>
      </c>
      <c r="B138" t="s">
        <v>747</v>
      </c>
      <c r="C138" t="s">
        <v>3</v>
      </c>
      <c r="D138">
        <v>40</v>
      </c>
      <c r="E138" t="s">
        <v>19</v>
      </c>
      <c r="F138">
        <v>1</v>
      </c>
      <c r="G138">
        <v>40.659999999999997</v>
      </c>
      <c r="H138" t="s">
        <v>1</v>
      </c>
      <c r="I138" s="1">
        <v>44341</v>
      </c>
      <c r="J138" t="s">
        <v>107</v>
      </c>
      <c r="K138">
        <f>F138*G138</f>
        <v>40.659999999999997</v>
      </c>
      <c r="L138" t="str">
        <f>_xlfn.IFS(D138&lt;20,"Below 20",D138&lt;=30,"20-30",D138&lt;=40,"31-40",D138&lt;=50,"41-50",D138&lt;=60,"51-60",TRUE,"60+")</f>
        <v>31-40</v>
      </c>
      <c r="M138" t="str">
        <f>_xlfn.IFS(K138&lt;500,"Low Spend",K138&lt;=2000,"Medium Spend",K138&lt;=5000,"High Spend",TRUE,"Premium Spend")</f>
        <v>Low Spend</v>
      </c>
      <c r="N138" t="str">
        <f>_xlfn.IFS(F138=1,"1 Item",F138&lt;=3,"2-3 Items",F138&lt;=5,"4-5 Items",TRUE,"6+ Items")</f>
        <v>1 Item</v>
      </c>
      <c r="O138" t="str">
        <f>TEXT(I138,"mmm")</f>
        <v>May</v>
      </c>
      <c r="P138">
        <f>MONTH(I138)</f>
        <v>5</v>
      </c>
      <c r="Q138">
        <f>YEAR(I138)</f>
        <v>2021</v>
      </c>
      <c r="R138" t="str">
        <f>IF(K138&gt;=5000,"High Value","Regular")</f>
        <v>Regular</v>
      </c>
      <c r="S138" t="str">
        <f>IF(F138&gt;=4,"Bulk Order","Normal Order")</f>
        <v>Normal Order</v>
      </c>
    </row>
    <row r="139" spans="1:19" x14ac:dyDescent="0.3">
      <c r="A139" t="s">
        <v>746</v>
      </c>
      <c r="B139" t="s">
        <v>745</v>
      </c>
      <c r="C139" t="s">
        <v>12</v>
      </c>
      <c r="D139">
        <v>24</v>
      </c>
      <c r="E139" t="s">
        <v>61</v>
      </c>
      <c r="F139">
        <v>3</v>
      </c>
      <c r="G139">
        <v>45.45</v>
      </c>
      <c r="H139" t="s">
        <v>1</v>
      </c>
      <c r="I139" s="1">
        <v>44663</v>
      </c>
      <c r="J139" t="s">
        <v>11</v>
      </c>
      <c r="K139">
        <f>F139*G139</f>
        <v>136.35000000000002</v>
      </c>
      <c r="L139" t="str">
        <f>_xlfn.IFS(D139&lt;20,"Below 20",D139&lt;=30,"20-30",D139&lt;=40,"31-40",D139&lt;=50,"41-50",D139&lt;=60,"51-60",TRUE,"60+")</f>
        <v>20-30</v>
      </c>
      <c r="M139" t="str">
        <f>_xlfn.IFS(K139&lt;500,"Low Spend",K139&lt;=2000,"Medium Spend",K139&lt;=5000,"High Spend",TRUE,"Premium Spend")</f>
        <v>Low Spend</v>
      </c>
      <c r="N139" t="str">
        <f>_xlfn.IFS(F139=1,"1 Item",F139&lt;=3,"2-3 Items",F139&lt;=5,"4-5 Items",TRUE,"6+ Items")</f>
        <v>2-3 Items</v>
      </c>
      <c r="O139" t="str">
        <f>TEXT(I139,"mmm")</f>
        <v>Apr</v>
      </c>
      <c r="P139">
        <f>MONTH(I139)</f>
        <v>4</v>
      </c>
      <c r="Q139">
        <f>YEAR(I139)</f>
        <v>2022</v>
      </c>
      <c r="R139" t="str">
        <f>IF(K139&gt;=5000,"High Value","Regular")</f>
        <v>Regular</v>
      </c>
      <c r="S139" t="str">
        <f>IF(F139&gt;=4,"Bulk Order","Normal Order")</f>
        <v>Normal Order</v>
      </c>
    </row>
    <row r="140" spans="1:19" x14ac:dyDescent="0.3">
      <c r="A140" t="s">
        <v>744</v>
      </c>
      <c r="B140" t="s">
        <v>743</v>
      </c>
      <c r="C140" t="s">
        <v>12</v>
      </c>
      <c r="D140">
        <v>40</v>
      </c>
      <c r="E140" t="s">
        <v>8</v>
      </c>
      <c r="F140">
        <v>4</v>
      </c>
      <c r="G140">
        <v>1200.32</v>
      </c>
      <c r="H140" t="s">
        <v>15</v>
      </c>
      <c r="I140" s="1">
        <v>44546</v>
      </c>
      <c r="J140" t="s">
        <v>22</v>
      </c>
      <c r="K140">
        <f>F140*G140</f>
        <v>4801.28</v>
      </c>
      <c r="L140" t="str">
        <f>_xlfn.IFS(D140&lt;20,"Below 20",D140&lt;=30,"20-30",D140&lt;=40,"31-40",D140&lt;=50,"41-50",D140&lt;=60,"51-60",TRUE,"60+")</f>
        <v>31-40</v>
      </c>
      <c r="M140" t="str">
        <f>_xlfn.IFS(K140&lt;500,"Low Spend",K140&lt;=2000,"Medium Spend",K140&lt;=5000,"High Spend",TRUE,"Premium Spend")</f>
        <v>High Spend</v>
      </c>
      <c r="N140" t="str">
        <f>_xlfn.IFS(F140=1,"1 Item",F140&lt;=3,"2-3 Items",F140&lt;=5,"4-5 Items",TRUE,"6+ Items")</f>
        <v>4-5 Items</v>
      </c>
      <c r="O140" t="str">
        <f>TEXT(I140,"mmm")</f>
        <v>Dec</v>
      </c>
      <c r="P140">
        <f>MONTH(I140)</f>
        <v>12</v>
      </c>
      <c r="Q140">
        <f>YEAR(I140)</f>
        <v>2021</v>
      </c>
      <c r="R140" t="str">
        <f>IF(K140&gt;=5000,"High Value","Regular")</f>
        <v>Regular</v>
      </c>
      <c r="S140" t="str">
        <f>IF(F140&gt;=4,"Bulk Order","Normal Order")</f>
        <v>Bulk Order</v>
      </c>
    </row>
    <row r="141" spans="1:19" x14ac:dyDescent="0.3">
      <c r="A141" t="s">
        <v>742</v>
      </c>
      <c r="B141" t="s">
        <v>741</v>
      </c>
      <c r="C141" t="s">
        <v>3</v>
      </c>
      <c r="D141">
        <v>32</v>
      </c>
      <c r="E141" t="s">
        <v>112</v>
      </c>
      <c r="F141">
        <v>2</v>
      </c>
      <c r="G141">
        <v>2100</v>
      </c>
      <c r="H141" t="s">
        <v>1</v>
      </c>
      <c r="I141" s="1">
        <v>44248</v>
      </c>
      <c r="J141" t="s">
        <v>68</v>
      </c>
      <c r="K141">
        <f>F141*G141</f>
        <v>4200</v>
      </c>
      <c r="L141" t="str">
        <f>_xlfn.IFS(D141&lt;20,"Below 20",D141&lt;=30,"20-30",D141&lt;=40,"31-40",D141&lt;=50,"41-50",D141&lt;=60,"51-60",TRUE,"60+")</f>
        <v>31-40</v>
      </c>
      <c r="M141" t="str">
        <f>_xlfn.IFS(K141&lt;500,"Low Spend",K141&lt;=2000,"Medium Spend",K141&lt;=5000,"High Spend",TRUE,"Premium Spend")</f>
        <v>High Spend</v>
      </c>
      <c r="N141" t="str">
        <f>_xlfn.IFS(F141=1,"1 Item",F141&lt;=3,"2-3 Items",F141&lt;=5,"4-5 Items",TRUE,"6+ Items")</f>
        <v>2-3 Items</v>
      </c>
      <c r="O141" t="str">
        <f>TEXT(I141,"mmm")</f>
        <v>Feb</v>
      </c>
      <c r="P141">
        <f>MONTH(I141)</f>
        <v>2</v>
      </c>
      <c r="Q141">
        <f>YEAR(I141)</f>
        <v>2021</v>
      </c>
      <c r="R141" t="str">
        <f>IF(K141&gt;=5000,"High Value","Regular")</f>
        <v>Regular</v>
      </c>
      <c r="S141" t="str">
        <f>IF(F141&gt;=4,"Bulk Order","Normal Order")</f>
        <v>Normal Order</v>
      </c>
    </row>
    <row r="142" spans="1:19" x14ac:dyDescent="0.3">
      <c r="A142" t="s">
        <v>740</v>
      </c>
      <c r="B142" t="s">
        <v>739</v>
      </c>
      <c r="C142" t="s">
        <v>3</v>
      </c>
      <c r="D142">
        <v>28</v>
      </c>
      <c r="E142" t="s">
        <v>8</v>
      </c>
      <c r="F142">
        <v>3</v>
      </c>
      <c r="G142">
        <v>900.24</v>
      </c>
      <c r="H142" t="s">
        <v>15</v>
      </c>
      <c r="I142" s="1">
        <v>44495</v>
      </c>
      <c r="J142" t="s">
        <v>22</v>
      </c>
      <c r="K142">
        <f>F142*G142</f>
        <v>2700.7200000000003</v>
      </c>
      <c r="L142" t="str">
        <f>_xlfn.IFS(D142&lt;20,"Below 20",D142&lt;=30,"20-30",D142&lt;=40,"31-40",D142&lt;=50,"41-50",D142&lt;=60,"51-60",TRUE,"60+")</f>
        <v>20-30</v>
      </c>
      <c r="M142" t="str">
        <f>_xlfn.IFS(K142&lt;500,"Low Spend",K142&lt;=2000,"Medium Spend",K142&lt;=5000,"High Spend",TRUE,"Premium Spend")</f>
        <v>High Spend</v>
      </c>
      <c r="N142" t="str">
        <f>_xlfn.IFS(F142=1,"1 Item",F142&lt;=3,"2-3 Items",F142&lt;=5,"4-5 Items",TRUE,"6+ Items")</f>
        <v>2-3 Items</v>
      </c>
      <c r="O142" t="str">
        <f>TEXT(I142,"mmm")</f>
        <v>Oct</v>
      </c>
      <c r="P142">
        <f>MONTH(I142)</f>
        <v>10</v>
      </c>
      <c r="Q142">
        <f>YEAR(I142)</f>
        <v>2021</v>
      </c>
      <c r="R142" t="str">
        <f>IF(K142&gt;=5000,"High Value","Regular")</f>
        <v>Regular</v>
      </c>
      <c r="S142" t="str">
        <f>IF(F142&gt;=4,"Bulk Order","Normal Order")</f>
        <v>Normal Order</v>
      </c>
    </row>
    <row r="143" spans="1:19" x14ac:dyDescent="0.3">
      <c r="A143" t="s">
        <v>738</v>
      </c>
      <c r="B143" t="s">
        <v>737</v>
      </c>
      <c r="C143" t="s">
        <v>3</v>
      </c>
      <c r="D143">
        <v>22</v>
      </c>
      <c r="E143" t="s">
        <v>2</v>
      </c>
      <c r="F143">
        <v>1</v>
      </c>
      <c r="G143">
        <v>35.840000000000003</v>
      </c>
      <c r="H143" t="s">
        <v>15</v>
      </c>
      <c r="I143" s="1">
        <v>44913</v>
      </c>
      <c r="J143" t="s">
        <v>22</v>
      </c>
      <c r="K143">
        <f>F143*G143</f>
        <v>35.840000000000003</v>
      </c>
      <c r="L143" t="str">
        <f>_xlfn.IFS(D143&lt;20,"Below 20",D143&lt;=30,"20-30",D143&lt;=40,"31-40",D143&lt;=50,"41-50",D143&lt;=60,"51-60",TRUE,"60+")</f>
        <v>20-30</v>
      </c>
      <c r="M143" t="str">
        <f>_xlfn.IFS(K143&lt;500,"Low Spend",K143&lt;=2000,"Medium Spend",K143&lt;=5000,"High Spend",TRUE,"Premium Spend")</f>
        <v>Low Spend</v>
      </c>
      <c r="N143" t="str">
        <f>_xlfn.IFS(F143=1,"1 Item",F143&lt;=3,"2-3 Items",F143&lt;=5,"4-5 Items",TRUE,"6+ Items")</f>
        <v>1 Item</v>
      </c>
      <c r="O143" t="str">
        <f>TEXT(I143,"mmm")</f>
        <v>Dec</v>
      </c>
      <c r="P143">
        <f>MONTH(I143)</f>
        <v>12</v>
      </c>
      <c r="Q143">
        <f>YEAR(I143)</f>
        <v>2022</v>
      </c>
      <c r="R143" t="str">
        <f>IF(K143&gt;=5000,"High Value","Regular")</f>
        <v>Regular</v>
      </c>
      <c r="S143" t="str">
        <f>IF(F143&gt;=4,"Bulk Order","Normal Order")</f>
        <v>Normal Order</v>
      </c>
    </row>
    <row r="144" spans="1:19" x14ac:dyDescent="0.3">
      <c r="A144" t="s">
        <v>736</v>
      </c>
      <c r="B144" t="s">
        <v>735</v>
      </c>
      <c r="C144" t="s">
        <v>3</v>
      </c>
      <c r="D144">
        <v>21</v>
      </c>
      <c r="E144" t="s">
        <v>8</v>
      </c>
      <c r="F144">
        <v>1</v>
      </c>
      <c r="G144">
        <v>300.08</v>
      </c>
      <c r="H144" t="s">
        <v>1</v>
      </c>
      <c r="I144" s="1">
        <v>44823</v>
      </c>
      <c r="J144" t="s">
        <v>11</v>
      </c>
      <c r="K144">
        <f>F144*G144</f>
        <v>300.08</v>
      </c>
      <c r="L144" t="str">
        <f>_xlfn.IFS(D144&lt;20,"Below 20",D144&lt;=30,"20-30",D144&lt;=40,"31-40",D144&lt;=50,"41-50",D144&lt;=60,"51-60",TRUE,"60+")</f>
        <v>20-30</v>
      </c>
      <c r="M144" t="str">
        <f>_xlfn.IFS(K144&lt;500,"Low Spend",K144&lt;=2000,"Medium Spend",K144&lt;=5000,"High Spend",TRUE,"Premium Spend")</f>
        <v>Low Spend</v>
      </c>
      <c r="N144" t="str">
        <f>_xlfn.IFS(F144=1,"1 Item",F144&lt;=3,"2-3 Items",F144&lt;=5,"4-5 Items",TRUE,"6+ Items")</f>
        <v>1 Item</v>
      </c>
      <c r="O144" t="str">
        <f>TEXT(I144,"mmm")</f>
        <v>Sep</v>
      </c>
      <c r="P144">
        <f>MONTH(I144)</f>
        <v>9</v>
      </c>
      <c r="Q144">
        <f>YEAR(I144)</f>
        <v>2022</v>
      </c>
      <c r="R144" t="str">
        <f>IF(K144&gt;=5000,"High Value","Regular")</f>
        <v>Regular</v>
      </c>
      <c r="S144" t="str">
        <f>IF(F144&gt;=4,"Bulk Order","Normal Order")</f>
        <v>Normal Order</v>
      </c>
    </row>
    <row r="145" spans="1:19" x14ac:dyDescent="0.3">
      <c r="A145" t="s">
        <v>734</v>
      </c>
      <c r="B145" t="s">
        <v>733</v>
      </c>
      <c r="C145" t="s">
        <v>3</v>
      </c>
      <c r="D145">
        <v>31</v>
      </c>
      <c r="E145" t="s">
        <v>8</v>
      </c>
      <c r="F145">
        <v>2</v>
      </c>
      <c r="G145">
        <v>600.16</v>
      </c>
      <c r="H145" t="s">
        <v>1</v>
      </c>
      <c r="I145" s="1">
        <v>44958</v>
      </c>
      <c r="J145" t="s">
        <v>28</v>
      </c>
      <c r="K145">
        <f>F145*G145</f>
        <v>1200.32</v>
      </c>
      <c r="L145" t="str">
        <f>_xlfn.IFS(D145&lt;20,"Below 20",D145&lt;=30,"20-30",D145&lt;=40,"31-40",D145&lt;=50,"41-50",D145&lt;=60,"51-60",TRUE,"60+")</f>
        <v>31-40</v>
      </c>
      <c r="M145" t="str">
        <f>_xlfn.IFS(K145&lt;500,"Low Spend",K145&lt;=2000,"Medium Spend",K145&lt;=5000,"High Spend",TRUE,"Premium Spend")</f>
        <v>Medium Spend</v>
      </c>
      <c r="N145" t="str">
        <f>_xlfn.IFS(F145=1,"1 Item",F145&lt;=3,"2-3 Items",F145&lt;=5,"4-5 Items",TRUE,"6+ Items")</f>
        <v>2-3 Items</v>
      </c>
      <c r="O145" t="str">
        <f>TEXT(I145,"mmm")</f>
        <v>Feb</v>
      </c>
      <c r="P145">
        <f>MONTH(I145)</f>
        <v>2</v>
      </c>
      <c r="Q145">
        <f>YEAR(I145)</f>
        <v>2023</v>
      </c>
      <c r="R145" t="str">
        <f>IF(K145&gt;=5000,"High Value","Regular")</f>
        <v>Regular</v>
      </c>
      <c r="S145" t="str">
        <f>IF(F145&gt;=4,"Bulk Order","Normal Order")</f>
        <v>Normal Order</v>
      </c>
    </row>
    <row r="146" spans="1:19" x14ac:dyDescent="0.3">
      <c r="A146" t="s">
        <v>732</v>
      </c>
      <c r="B146" t="s">
        <v>731</v>
      </c>
      <c r="C146" t="s">
        <v>3</v>
      </c>
      <c r="D146">
        <v>61</v>
      </c>
      <c r="E146" t="s">
        <v>16</v>
      </c>
      <c r="F146">
        <v>3</v>
      </c>
      <c r="G146">
        <v>15.69</v>
      </c>
      <c r="H146" t="s">
        <v>1</v>
      </c>
      <c r="I146" s="1">
        <v>44839</v>
      </c>
      <c r="J146" t="s">
        <v>22</v>
      </c>
      <c r="K146">
        <f>F146*G146</f>
        <v>47.07</v>
      </c>
      <c r="L146" t="str">
        <f>_xlfn.IFS(D146&lt;20,"Below 20",D146&lt;=30,"20-30",D146&lt;=40,"31-40",D146&lt;=50,"41-50",D146&lt;=60,"51-60",TRUE,"60+")</f>
        <v>60+</v>
      </c>
      <c r="M146" t="str">
        <f>_xlfn.IFS(K146&lt;500,"Low Spend",K146&lt;=2000,"Medium Spend",K146&lt;=5000,"High Spend",TRUE,"Premium Spend")</f>
        <v>Low Spend</v>
      </c>
      <c r="N146" t="str">
        <f>_xlfn.IFS(F146=1,"1 Item",F146&lt;=3,"2-3 Items",F146&lt;=5,"4-5 Items",TRUE,"6+ Items")</f>
        <v>2-3 Items</v>
      </c>
      <c r="O146" t="str">
        <f>TEXT(I146,"mmm")</f>
        <v>Oct</v>
      </c>
      <c r="P146">
        <f>MONTH(I146)</f>
        <v>10</v>
      </c>
      <c r="Q146">
        <f>YEAR(I146)</f>
        <v>2022</v>
      </c>
      <c r="R146" t="str">
        <f>IF(K146&gt;=5000,"High Value","Regular")</f>
        <v>Regular</v>
      </c>
      <c r="S146" t="str">
        <f>IF(F146&gt;=4,"Bulk Order","Normal Order")</f>
        <v>Normal Order</v>
      </c>
    </row>
    <row r="147" spans="1:19" x14ac:dyDescent="0.3">
      <c r="A147" t="s">
        <v>730</v>
      </c>
      <c r="B147" t="s">
        <v>729</v>
      </c>
      <c r="C147" t="s">
        <v>3</v>
      </c>
      <c r="D147">
        <v>67</v>
      </c>
      <c r="E147" t="s">
        <v>19</v>
      </c>
      <c r="F147">
        <v>2</v>
      </c>
      <c r="G147">
        <v>81.319999999999993</v>
      </c>
      <c r="H147" t="s">
        <v>15</v>
      </c>
      <c r="I147" s="1">
        <v>44528</v>
      </c>
      <c r="J147" t="s">
        <v>28</v>
      </c>
      <c r="K147">
        <f>F147*G147</f>
        <v>162.63999999999999</v>
      </c>
      <c r="L147" t="str">
        <f>_xlfn.IFS(D147&lt;20,"Below 20",D147&lt;=30,"20-30",D147&lt;=40,"31-40",D147&lt;=50,"41-50",D147&lt;=60,"51-60",TRUE,"60+")</f>
        <v>60+</v>
      </c>
      <c r="M147" t="str">
        <f>_xlfn.IFS(K147&lt;500,"Low Spend",K147&lt;=2000,"Medium Spend",K147&lt;=5000,"High Spend",TRUE,"Premium Spend")</f>
        <v>Low Spend</v>
      </c>
      <c r="N147" t="str">
        <f>_xlfn.IFS(F147=1,"1 Item",F147&lt;=3,"2-3 Items",F147&lt;=5,"4-5 Items",TRUE,"6+ Items")</f>
        <v>2-3 Items</v>
      </c>
      <c r="O147" t="str">
        <f>TEXT(I147,"mmm")</f>
        <v>Nov</v>
      </c>
      <c r="P147">
        <f>MONTH(I147)</f>
        <v>11</v>
      </c>
      <c r="Q147">
        <f>YEAR(I147)</f>
        <v>2021</v>
      </c>
      <c r="R147" t="str">
        <f>IF(K147&gt;=5000,"High Value","Regular")</f>
        <v>Regular</v>
      </c>
      <c r="S147" t="str">
        <f>IF(F147&gt;=4,"Bulk Order","Normal Order")</f>
        <v>Normal Order</v>
      </c>
    </row>
    <row r="148" spans="1:19" x14ac:dyDescent="0.3">
      <c r="A148" t="s">
        <v>728</v>
      </c>
      <c r="B148" t="s">
        <v>727</v>
      </c>
      <c r="C148" t="s">
        <v>12</v>
      </c>
      <c r="D148">
        <v>52</v>
      </c>
      <c r="E148" t="s">
        <v>31</v>
      </c>
      <c r="F148">
        <v>5</v>
      </c>
      <c r="G148">
        <v>3000.85</v>
      </c>
      <c r="H148" t="s">
        <v>15</v>
      </c>
      <c r="I148" s="1">
        <v>44411</v>
      </c>
      <c r="J148" t="s">
        <v>28</v>
      </c>
      <c r="K148">
        <f>F148*G148</f>
        <v>15004.25</v>
      </c>
      <c r="L148" t="str">
        <f>_xlfn.IFS(D148&lt;20,"Below 20",D148&lt;=30,"20-30",D148&lt;=40,"31-40",D148&lt;=50,"41-50",D148&lt;=60,"51-60",TRUE,"60+")</f>
        <v>51-60</v>
      </c>
      <c r="M148" t="str">
        <f>_xlfn.IFS(K148&lt;500,"Low Spend",K148&lt;=2000,"Medium Spend",K148&lt;=5000,"High Spend",TRUE,"Premium Spend")</f>
        <v>Premium Spend</v>
      </c>
      <c r="N148" t="str">
        <f>_xlfn.IFS(F148=1,"1 Item",F148&lt;=3,"2-3 Items",F148&lt;=5,"4-5 Items",TRUE,"6+ Items")</f>
        <v>4-5 Items</v>
      </c>
      <c r="O148" t="str">
        <f>TEXT(I148,"mmm")</f>
        <v>Aug</v>
      </c>
      <c r="P148">
        <f>MONTH(I148)</f>
        <v>8</v>
      </c>
      <c r="Q148">
        <f>YEAR(I148)</f>
        <v>2021</v>
      </c>
      <c r="R148" t="str">
        <f>IF(K148&gt;=5000,"High Value","Regular")</f>
        <v>High Value</v>
      </c>
      <c r="S148" t="str">
        <f>IF(F148&gt;=4,"Bulk Order","Normal Order")</f>
        <v>Bulk Order</v>
      </c>
    </row>
    <row r="149" spans="1:19" x14ac:dyDescent="0.3">
      <c r="A149" t="s">
        <v>726</v>
      </c>
      <c r="B149" t="s">
        <v>725</v>
      </c>
      <c r="C149" t="s">
        <v>12</v>
      </c>
      <c r="D149">
        <v>44</v>
      </c>
      <c r="E149" t="s">
        <v>8</v>
      </c>
      <c r="F149">
        <v>4</v>
      </c>
      <c r="G149">
        <v>1200.32</v>
      </c>
      <c r="H149" t="s">
        <v>1</v>
      </c>
      <c r="I149" s="1">
        <v>44846</v>
      </c>
      <c r="J149" t="s">
        <v>68</v>
      </c>
      <c r="K149">
        <f>F149*G149</f>
        <v>4801.28</v>
      </c>
      <c r="L149" t="str">
        <f>_xlfn.IFS(D149&lt;20,"Below 20",D149&lt;=30,"20-30",D149&lt;=40,"31-40",D149&lt;=50,"41-50",D149&lt;=60,"51-60",TRUE,"60+")</f>
        <v>41-50</v>
      </c>
      <c r="M149" t="str">
        <f>_xlfn.IFS(K149&lt;500,"Low Spend",K149&lt;=2000,"Medium Spend",K149&lt;=5000,"High Spend",TRUE,"Premium Spend")</f>
        <v>High Spend</v>
      </c>
      <c r="N149" t="str">
        <f>_xlfn.IFS(F149=1,"1 Item",F149&lt;=3,"2-3 Items",F149&lt;=5,"4-5 Items",TRUE,"6+ Items")</f>
        <v>4-5 Items</v>
      </c>
      <c r="O149" t="str">
        <f>TEXT(I149,"mmm")</f>
        <v>Oct</v>
      </c>
      <c r="P149">
        <f>MONTH(I149)</f>
        <v>10</v>
      </c>
      <c r="Q149">
        <f>YEAR(I149)</f>
        <v>2022</v>
      </c>
      <c r="R149" t="str">
        <f>IF(K149&gt;=5000,"High Value","Regular")</f>
        <v>Regular</v>
      </c>
      <c r="S149" t="str">
        <f>IF(F149&gt;=4,"Bulk Order","Normal Order")</f>
        <v>Bulk Order</v>
      </c>
    </row>
    <row r="150" spans="1:19" x14ac:dyDescent="0.3">
      <c r="A150" t="s">
        <v>724</v>
      </c>
      <c r="B150" t="s">
        <v>723</v>
      </c>
      <c r="C150" t="s">
        <v>3</v>
      </c>
      <c r="D150">
        <v>48</v>
      </c>
      <c r="E150" t="s">
        <v>16</v>
      </c>
      <c r="F150">
        <v>2</v>
      </c>
      <c r="G150">
        <v>10.46</v>
      </c>
      <c r="H150" t="s">
        <v>1</v>
      </c>
      <c r="I150" s="1">
        <v>44832</v>
      </c>
      <c r="J150" t="s">
        <v>28</v>
      </c>
      <c r="K150">
        <f>F150*G150</f>
        <v>20.92</v>
      </c>
      <c r="L150" t="str">
        <f>_xlfn.IFS(D150&lt;20,"Below 20",D150&lt;=30,"20-30",D150&lt;=40,"31-40",D150&lt;=50,"41-50",D150&lt;=60,"51-60",TRUE,"60+")</f>
        <v>41-50</v>
      </c>
      <c r="M150" t="str">
        <f>_xlfn.IFS(K150&lt;500,"Low Spend",K150&lt;=2000,"Medium Spend",K150&lt;=5000,"High Spend",TRUE,"Premium Spend")</f>
        <v>Low Spend</v>
      </c>
      <c r="N150" t="str">
        <f>_xlfn.IFS(F150=1,"1 Item",F150&lt;=3,"2-3 Items",F150&lt;=5,"4-5 Items",TRUE,"6+ Items")</f>
        <v>2-3 Items</v>
      </c>
      <c r="O150" t="str">
        <f>TEXT(I150,"mmm")</f>
        <v>Sep</v>
      </c>
      <c r="P150">
        <f>MONTH(I150)</f>
        <v>9</v>
      </c>
      <c r="Q150">
        <f>YEAR(I150)</f>
        <v>2022</v>
      </c>
      <c r="R150" t="str">
        <f>IF(K150&gt;=5000,"High Value","Regular")</f>
        <v>Regular</v>
      </c>
      <c r="S150" t="str">
        <f>IF(F150&gt;=4,"Bulk Order","Normal Order")</f>
        <v>Normal Order</v>
      </c>
    </row>
    <row r="151" spans="1:19" x14ac:dyDescent="0.3">
      <c r="A151" t="s">
        <v>722</v>
      </c>
      <c r="B151" t="s">
        <v>721</v>
      </c>
      <c r="C151" t="s">
        <v>3</v>
      </c>
      <c r="D151">
        <v>53</v>
      </c>
      <c r="E151" t="s">
        <v>16</v>
      </c>
      <c r="F151">
        <v>3</v>
      </c>
      <c r="G151">
        <v>15.69</v>
      </c>
      <c r="H151" t="s">
        <v>15</v>
      </c>
      <c r="I151" s="1">
        <v>44389</v>
      </c>
      <c r="J151" t="s">
        <v>11</v>
      </c>
      <c r="K151">
        <f>F151*G151</f>
        <v>47.07</v>
      </c>
      <c r="L151" t="str">
        <f>_xlfn.IFS(D151&lt;20,"Below 20",D151&lt;=30,"20-30",D151&lt;=40,"31-40",D151&lt;=50,"41-50",D151&lt;=60,"51-60",TRUE,"60+")</f>
        <v>51-60</v>
      </c>
      <c r="M151" t="str">
        <f>_xlfn.IFS(K151&lt;500,"Low Spend",K151&lt;=2000,"Medium Spend",K151&lt;=5000,"High Spend",TRUE,"Premium Spend")</f>
        <v>Low Spend</v>
      </c>
      <c r="N151" t="str">
        <f>_xlfn.IFS(F151=1,"1 Item",F151&lt;=3,"2-3 Items",F151&lt;=5,"4-5 Items",TRUE,"6+ Items")</f>
        <v>2-3 Items</v>
      </c>
      <c r="O151" t="str">
        <f>TEXT(I151,"mmm")</f>
        <v>Jul</v>
      </c>
      <c r="P151">
        <f>MONTH(I151)</f>
        <v>7</v>
      </c>
      <c r="Q151">
        <f>YEAR(I151)</f>
        <v>2021</v>
      </c>
      <c r="R151" t="str">
        <f>IF(K151&gt;=5000,"High Value","Regular")</f>
        <v>Regular</v>
      </c>
      <c r="S151" t="str">
        <f>IF(F151&gt;=4,"Bulk Order","Normal Order")</f>
        <v>Normal Order</v>
      </c>
    </row>
    <row r="152" spans="1:19" x14ac:dyDescent="0.3">
      <c r="A152" t="s">
        <v>720</v>
      </c>
      <c r="B152" t="s">
        <v>719</v>
      </c>
      <c r="C152" t="s">
        <v>12</v>
      </c>
      <c r="D152">
        <v>27</v>
      </c>
      <c r="E152" t="s">
        <v>2</v>
      </c>
      <c r="F152">
        <v>4</v>
      </c>
      <c r="G152">
        <v>143.36000000000001</v>
      </c>
      <c r="H152" t="s">
        <v>15</v>
      </c>
      <c r="I152" s="1">
        <v>44380</v>
      </c>
      <c r="J152" t="s">
        <v>22</v>
      </c>
      <c r="K152">
        <f>F152*G152</f>
        <v>573.44000000000005</v>
      </c>
      <c r="L152" t="str">
        <f>_xlfn.IFS(D152&lt;20,"Below 20",D152&lt;=30,"20-30",D152&lt;=40,"31-40",D152&lt;=50,"41-50",D152&lt;=60,"51-60",TRUE,"60+")</f>
        <v>20-30</v>
      </c>
      <c r="M152" t="str">
        <f>_xlfn.IFS(K152&lt;500,"Low Spend",K152&lt;=2000,"Medium Spend",K152&lt;=5000,"High Spend",TRUE,"Premium Spend")</f>
        <v>Medium Spend</v>
      </c>
      <c r="N152" t="str">
        <f>_xlfn.IFS(F152=1,"1 Item",F152&lt;=3,"2-3 Items",F152&lt;=5,"4-5 Items",TRUE,"6+ Items")</f>
        <v>4-5 Items</v>
      </c>
      <c r="O152" t="str">
        <f>TEXT(I152,"mmm")</f>
        <v>Jul</v>
      </c>
      <c r="P152">
        <f>MONTH(I152)</f>
        <v>7</v>
      </c>
      <c r="Q152">
        <f>YEAR(I152)</f>
        <v>2021</v>
      </c>
      <c r="R152" t="str">
        <f>IF(K152&gt;=5000,"High Value","Regular")</f>
        <v>Regular</v>
      </c>
      <c r="S152" t="str">
        <f>IF(F152&gt;=4,"Bulk Order","Normal Order")</f>
        <v>Bulk Order</v>
      </c>
    </row>
    <row r="153" spans="1:19" x14ac:dyDescent="0.3">
      <c r="A153" t="s">
        <v>718</v>
      </c>
      <c r="B153" t="s">
        <v>717</v>
      </c>
      <c r="C153" t="s">
        <v>3</v>
      </c>
      <c r="D153">
        <v>28</v>
      </c>
      <c r="E153" t="s">
        <v>19</v>
      </c>
      <c r="F153">
        <v>4</v>
      </c>
      <c r="G153">
        <v>162.63999999999999</v>
      </c>
      <c r="H153" t="s">
        <v>15</v>
      </c>
      <c r="I153" s="1">
        <v>44646</v>
      </c>
      <c r="J153" t="s">
        <v>6</v>
      </c>
      <c r="K153">
        <f>F153*G153</f>
        <v>650.55999999999995</v>
      </c>
      <c r="L153" t="str">
        <f>_xlfn.IFS(D153&lt;20,"Below 20",D153&lt;=30,"20-30",D153&lt;=40,"31-40",D153&lt;=50,"41-50",D153&lt;=60,"51-60",TRUE,"60+")</f>
        <v>20-30</v>
      </c>
      <c r="M153" t="str">
        <f>_xlfn.IFS(K153&lt;500,"Low Spend",K153&lt;=2000,"Medium Spend",K153&lt;=5000,"High Spend",TRUE,"Premium Spend")</f>
        <v>Medium Spend</v>
      </c>
      <c r="N153" t="str">
        <f>_xlfn.IFS(F153=1,"1 Item",F153&lt;=3,"2-3 Items",F153&lt;=5,"4-5 Items",TRUE,"6+ Items")</f>
        <v>4-5 Items</v>
      </c>
      <c r="O153" t="str">
        <f>TEXT(I153,"mmm")</f>
        <v>Mar</v>
      </c>
      <c r="P153">
        <f>MONTH(I153)</f>
        <v>3</v>
      </c>
      <c r="Q153">
        <f>YEAR(I153)</f>
        <v>2022</v>
      </c>
      <c r="R153" t="str">
        <f>IF(K153&gt;=5000,"High Value","Regular")</f>
        <v>Regular</v>
      </c>
      <c r="S153" t="str">
        <f>IF(F153&gt;=4,"Bulk Order","Normal Order")</f>
        <v>Bulk Order</v>
      </c>
    </row>
    <row r="154" spans="1:19" x14ac:dyDescent="0.3">
      <c r="A154" t="s">
        <v>716</v>
      </c>
      <c r="B154" t="s">
        <v>715</v>
      </c>
      <c r="C154" t="s">
        <v>3</v>
      </c>
      <c r="D154">
        <v>43</v>
      </c>
      <c r="E154" t="s">
        <v>2</v>
      </c>
      <c r="F154">
        <v>4</v>
      </c>
      <c r="G154">
        <v>143.36000000000001</v>
      </c>
      <c r="H154" t="s">
        <v>1</v>
      </c>
      <c r="I154" s="1">
        <v>44698</v>
      </c>
      <c r="J154" t="s">
        <v>102</v>
      </c>
      <c r="K154">
        <f>F154*G154</f>
        <v>573.44000000000005</v>
      </c>
      <c r="L154" t="str">
        <f>_xlfn.IFS(D154&lt;20,"Below 20",D154&lt;=30,"20-30",D154&lt;=40,"31-40",D154&lt;=50,"41-50",D154&lt;=60,"51-60",TRUE,"60+")</f>
        <v>41-50</v>
      </c>
      <c r="M154" t="str">
        <f>_xlfn.IFS(K154&lt;500,"Low Spend",K154&lt;=2000,"Medium Spend",K154&lt;=5000,"High Spend",TRUE,"Premium Spend")</f>
        <v>Medium Spend</v>
      </c>
      <c r="N154" t="str">
        <f>_xlfn.IFS(F154=1,"1 Item",F154&lt;=3,"2-3 Items",F154&lt;=5,"4-5 Items",TRUE,"6+ Items")</f>
        <v>4-5 Items</v>
      </c>
      <c r="O154" t="str">
        <f>TEXT(I154,"mmm")</f>
        <v>May</v>
      </c>
      <c r="P154">
        <f>MONTH(I154)</f>
        <v>5</v>
      </c>
      <c r="Q154">
        <f>YEAR(I154)</f>
        <v>2022</v>
      </c>
      <c r="R154" t="str">
        <f>IF(K154&gt;=5000,"High Value","Regular")</f>
        <v>Regular</v>
      </c>
      <c r="S154" t="str">
        <f>IF(F154&gt;=4,"Bulk Order","Normal Order")</f>
        <v>Bulk Order</v>
      </c>
    </row>
    <row r="155" spans="1:19" x14ac:dyDescent="0.3">
      <c r="A155" t="s">
        <v>714</v>
      </c>
      <c r="B155" t="s">
        <v>713</v>
      </c>
      <c r="C155" t="s">
        <v>12</v>
      </c>
      <c r="D155">
        <v>54</v>
      </c>
      <c r="E155" t="s">
        <v>23</v>
      </c>
      <c r="F155">
        <v>5</v>
      </c>
      <c r="G155">
        <v>58.65</v>
      </c>
      <c r="H155" t="s">
        <v>1</v>
      </c>
      <c r="I155" s="1">
        <v>44662</v>
      </c>
      <c r="J155" t="s">
        <v>28</v>
      </c>
      <c r="K155">
        <f>F155*G155</f>
        <v>293.25</v>
      </c>
      <c r="L155" t="str">
        <f>_xlfn.IFS(D155&lt;20,"Below 20",D155&lt;=30,"20-30",D155&lt;=40,"31-40",D155&lt;=50,"41-50",D155&lt;=60,"51-60",TRUE,"60+")</f>
        <v>51-60</v>
      </c>
      <c r="M155" t="str">
        <f>_xlfn.IFS(K155&lt;500,"Low Spend",K155&lt;=2000,"Medium Spend",K155&lt;=5000,"High Spend",TRUE,"Premium Spend")</f>
        <v>Low Spend</v>
      </c>
      <c r="N155" t="str">
        <f>_xlfn.IFS(F155=1,"1 Item",F155&lt;=3,"2-3 Items",F155&lt;=5,"4-5 Items",TRUE,"6+ Items")</f>
        <v>4-5 Items</v>
      </c>
      <c r="O155" t="str">
        <f>TEXT(I155,"mmm")</f>
        <v>Apr</v>
      </c>
      <c r="P155">
        <f>MONTH(I155)</f>
        <v>4</v>
      </c>
      <c r="Q155">
        <f>YEAR(I155)</f>
        <v>2022</v>
      </c>
      <c r="R155" t="str">
        <f>IF(K155&gt;=5000,"High Value","Regular")</f>
        <v>Regular</v>
      </c>
      <c r="S155" t="str">
        <f>IF(F155&gt;=4,"Bulk Order","Normal Order")</f>
        <v>Bulk Order</v>
      </c>
    </row>
    <row r="156" spans="1:19" x14ac:dyDescent="0.3">
      <c r="A156" t="s">
        <v>712</v>
      </c>
      <c r="B156" t="s">
        <v>711</v>
      </c>
      <c r="C156" t="s">
        <v>12</v>
      </c>
      <c r="D156">
        <v>41</v>
      </c>
      <c r="E156" t="s">
        <v>16</v>
      </c>
      <c r="F156">
        <v>5</v>
      </c>
      <c r="G156">
        <v>26.15</v>
      </c>
      <c r="H156" t="s">
        <v>1</v>
      </c>
      <c r="I156" s="1">
        <v>44491</v>
      </c>
      <c r="J156" t="s">
        <v>28</v>
      </c>
      <c r="K156">
        <f>F156*G156</f>
        <v>130.75</v>
      </c>
      <c r="L156" t="str">
        <f>_xlfn.IFS(D156&lt;20,"Below 20",D156&lt;=30,"20-30",D156&lt;=40,"31-40",D156&lt;=50,"41-50",D156&lt;=60,"51-60",TRUE,"60+")</f>
        <v>41-50</v>
      </c>
      <c r="M156" t="str">
        <f>_xlfn.IFS(K156&lt;500,"Low Spend",K156&lt;=2000,"Medium Spend",K156&lt;=5000,"High Spend",TRUE,"Premium Spend")</f>
        <v>Low Spend</v>
      </c>
      <c r="N156" t="str">
        <f>_xlfn.IFS(F156=1,"1 Item",F156&lt;=3,"2-3 Items",F156&lt;=5,"4-5 Items",TRUE,"6+ Items")</f>
        <v>4-5 Items</v>
      </c>
      <c r="O156" t="str">
        <f>TEXT(I156,"mmm")</f>
        <v>Oct</v>
      </c>
      <c r="P156">
        <f>MONTH(I156)</f>
        <v>10</v>
      </c>
      <c r="Q156">
        <f>YEAR(I156)</f>
        <v>2021</v>
      </c>
      <c r="R156" t="str">
        <f>IF(K156&gt;=5000,"High Value","Regular")</f>
        <v>Regular</v>
      </c>
      <c r="S156" t="str">
        <f>IF(F156&gt;=4,"Bulk Order","Normal Order")</f>
        <v>Bulk Order</v>
      </c>
    </row>
    <row r="157" spans="1:19" x14ac:dyDescent="0.3">
      <c r="A157" t="s">
        <v>710</v>
      </c>
      <c r="B157" t="s">
        <v>709</v>
      </c>
      <c r="C157" t="s">
        <v>3</v>
      </c>
      <c r="D157">
        <v>59</v>
      </c>
      <c r="E157" t="s">
        <v>19</v>
      </c>
      <c r="F157">
        <v>5</v>
      </c>
      <c r="G157">
        <v>203.3</v>
      </c>
      <c r="H157" t="s">
        <v>15</v>
      </c>
      <c r="I157" s="1">
        <v>44550</v>
      </c>
      <c r="J157" t="s">
        <v>0</v>
      </c>
      <c r="K157">
        <f>F157*G157</f>
        <v>1016.5</v>
      </c>
      <c r="L157" t="str">
        <f>_xlfn.IFS(D157&lt;20,"Below 20",D157&lt;=30,"20-30",D157&lt;=40,"31-40",D157&lt;=50,"41-50",D157&lt;=60,"51-60",TRUE,"60+")</f>
        <v>51-60</v>
      </c>
      <c r="M157" t="str">
        <f>_xlfn.IFS(K157&lt;500,"Low Spend",K157&lt;=2000,"Medium Spend",K157&lt;=5000,"High Spend",TRUE,"Premium Spend")</f>
        <v>Medium Spend</v>
      </c>
      <c r="N157" t="str">
        <f>_xlfn.IFS(F157=1,"1 Item",F157&lt;=3,"2-3 Items",F157&lt;=5,"4-5 Items",TRUE,"6+ Items")</f>
        <v>4-5 Items</v>
      </c>
      <c r="O157" t="str">
        <f>TEXT(I157,"mmm")</f>
        <v>Dec</v>
      </c>
      <c r="P157">
        <f>MONTH(I157)</f>
        <v>12</v>
      </c>
      <c r="Q157">
        <f>YEAR(I157)</f>
        <v>2021</v>
      </c>
      <c r="R157" t="str">
        <f>IF(K157&gt;=5000,"High Value","Regular")</f>
        <v>Regular</v>
      </c>
      <c r="S157" t="str">
        <f>IF(F157&gt;=4,"Bulk Order","Normal Order")</f>
        <v>Bulk Order</v>
      </c>
    </row>
    <row r="158" spans="1:19" x14ac:dyDescent="0.3">
      <c r="A158" t="s">
        <v>708</v>
      </c>
      <c r="B158" t="s">
        <v>707</v>
      </c>
      <c r="C158" t="s">
        <v>3</v>
      </c>
      <c r="D158">
        <v>32</v>
      </c>
      <c r="E158" t="s">
        <v>8</v>
      </c>
      <c r="F158">
        <v>1</v>
      </c>
      <c r="G158">
        <v>300.08</v>
      </c>
      <c r="H158" t="s">
        <v>1</v>
      </c>
      <c r="I158" s="1">
        <v>44637</v>
      </c>
      <c r="J158" t="s">
        <v>68</v>
      </c>
      <c r="K158">
        <f>F158*G158</f>
        <v>300.08</v>
      </c>
      <c r="L158" t="str">
        <f>_xlfn.IFS(D158&lt;20,"Below 20",D158&lt;=30,"20-30",D158&lt;=40,"31-40",D158&lt;=50,"41-50",D158&lt;=60,"51-60",TRUE,"60+")</f>
        <v>31-40</v>
      </c>
      <c r="M158" t="str">
        <f>_xlfn.IFS(K158&lt;500,"Low Spend",K158&lt;=2000,"Medium Spend",K158&lt;=5000,"High Spend",TRUE,"Premium Spend")</f>
        <v>Low Spend</v>
      </c>
      <c r="N158" t="str">
        <f>_xlfn.IFS(F158=1,"1 Item",F158&lt;=3,"2-3 Items",F158&lt;=5,"4-5 Items",TRUE,"6+ Items")</f>
        <v>1 Item</v>
      </c>
      <c r="O158" t="str">
        <f>TEXT(I158,"mmm")</f>
        <v>Mar</v>
      </c>
      <c r="P158">
        <f>MONTH(I158)</f>
        <v>3</v>
      </c>
      <c r="Q158">
        <f>YEAR(I158)</f>
        <v>2022</v>
      </c>
      <c r="R158" t="str">
        <f>IF(K158&gt;=5000,"High Value","Regular")</f>
        <v>Regular</v>
      </c>
      <c r="S158" t="str">
        <f>IF(F158&gt;=4,"Bulk Order","Normal Order")</f>
        <v>Normal Order</v>
      </c>
    </row>
    <row r="159" spans="1:19" x14ac:dyDescent="0.3">
      <c r="A159" t="s">
        <v>706</v>
      </c>
      <c r="B159" t="s">
        <v>705</v>
      </c>
      <c r="C159" t="s">
        <v>3</v>
      </c>
      <c r="D159">
        <v>41</v>
      </c>
      <c r="E159" t="s">
        <v>23</v>
      </c>
      <c r="F159">
        <v>5</v>
      </c>
      <c r="G159">
        <v>58.65</v>
      </c>
      <c r="H159" t="s">
        <v>1</v>
      </c>
      <c r="I159" s="1">
        <v>44735</v>
      </c>
      <c r="J159" t="s">
        <v>68</v>
      </c>
      <c r="K159">
        <f>F159*G159</f>
        <v>293.25</v>
      </c>
      <c r="L159" t="str">
        <f>_xlfn.IFS(D159&lt;20,"Below 20",D159&lt;=30,"20-30",D159&lt;=40,"31-40",D159&lt;=50,"41-50",D159&lt;=60,"51-60",TRUE,"60+")</f>
        <v>41-50</v>
      </c>
      <c r="M159" t="str">
        <f>_xlfn.IFS(K159&lt;500,"Low Spend",K159&lt;=2000,"Medium Spend",K159&lt;=5000,"High Spend",TRUE,"Premium Spend")</f>
        <v>Low Spend</v>
      </c>
      <c r="N159" t="str">
        <f>_xlfn.IFS(F159=1,"1 Item",F159&lt;=3,"2-3 Items",F159&lt;=5,"4-5 Items",TRUE,"6+ Items")</f>
        <v>4-5 Items</v>
      </c>
      <c r="O159" t="str">
        <f>TEXT(I159,"mmm")</f>
        <v>Jun</v>
      </c>
      <c r="P159">
        <f>MONTH(I159)</f>
        <v>6</v>
      </c>
      <c r="Q159">
        <f>YEAR(I159)</f>
        <v>2022</v>
      </c>
      <c r="R159" t="str">
        <f>IF(K159&gt;=5000,"High Value","Regular")</f>
        <v>Regular</v>
      </c>
      <c r="S159" t="str">
        <f>IF(F159&gt;=4,"Bulk Order","Normal Order")</f>
        <v>Bulk Order</v>
      </c>
    </row>
    <row r="160" spans="1:19" x14ac:dyDescent="0.3">
      <c r="A160" t="s">
        <v>704</v>
      </c>
      <c r="B160" t="s">
        <v>703</v>
      </c>
      <c r="C160" t="s">
        <v>3</v>
      </c>
      <c r="D160">
        <v>30</v>
      </c>
      <c r="E160" t="s">
        <v>112</v>
      </c>
      <c r="F160">
        <v>3</v>
      </c>
      <c r="G160">
        <v>3150</v>
      </c>
      <c r="H160" t="s">
        <v>7</v>
      </c>
      <c r="I160" s="1">
        <v>44366</v>
      </c>
      <c r="J160" t="s">
        <v>22</v>
      </c>
      <c r="K160">
        <f>F160*G160</f>
        <v>9450</v>
      </c>
      <c r="L160" t="str">
        <f>_xlfn.IFS(D160&lt;20,"Below 20",D160&lt;=30,"20-30",D160&lt;=40,"31-40",D160&lt;=50,"41-50",D160&lt;=60,"51-60",TRUE,"60+")</f>
        <v>20-30</v>
      </c>
      <c r="M160" t="str">
        <f>_xlfn.IFS(K160&lt;500,"Low Spend",K160&lt;=2000,"Medium Spend",K160&lt;=5000,"High Spend",TRUE,"Premium Spend")</f>
        <v>Premium Spend</v>
      </c>
      <c r="N160" t="str">
        <f>_xlfn.IFS(F160=1,"1 Item",F160&lt;=3,"2-3 Items",F160&lt;=5,"4-5 Items",TRUE,"6+ Items")</f>
        <v>2-3 Items</v>
      </c>
      <c r="O160" t="str">
        <f>TEXT(I160,"mmm")</f>
        <v>Jun</v>
      </c>
      <c r="P160">
        <f>MONTH(I160)</f>
        <v>6</v>
      </c>
      <c r="Q160">
        <f>YEAR(I160)</f>
        <v>2021</v>
      </c>
      <c r="R160" t="str">
        <f>IF(K160&gt;=5000,"High Value","Regular")</f>
        <v>High Value</v>
      </c>
      <c r="S160" t="str">
        <f>IF(F160&gt;=4,"Bulk Order","Normal Order")</f>
        <v>Normal Order</v>
      </c>
    </row>
    <row r="161" spans="1:19" x14ac:dyDescent="0.3">
      <c r="A161" t="s">
        <v>702</v>
      </c>
      <c r="B161" t="s">
        <v>701</v>
      </c>
      <c r="C161" t="s">
        <v>12</v>
      </c>
      <c r="D161">
        <v>22</v>
      </c>
      <c r="E161" t="s">
        <v>8</v>
      </c>
      <c r="F161">
        <v>1</v>
      </c>
      <c r="G161">
        <v>300.08</v>
      </c>
      <c r="H161" t="s">
        <v>7</v>
      </c>
      <c r="I161" s="1">
        <v>44803</v>
      </c>
      <c r="J161" t="s">
        <v>0</v>
      </c>
      <c r="K161">
        <f>F161*G161</f>
        <v>300.08</v>
      </c>
      <c r="L161" t="str">
        <f>_xlfn.IFS(D161&lt;20,"Below 20",D161&lt;=30,"20-30",D161&lt;=40,"31-40",D161&lt;=50,"41-50",D161&lt;=60,"51-60",TRUE,"60+")</f>
        <v>20-30</v>
      </c>
      <c r="M161" t="str">
        <f>_xlfn.IFS(K161&lt;500,"Low Spend",K161&lt;=2000,"Medium Spend",K161&lt;=5000,"High Spend",TRUE,"Premium Spend")</f>
        <v>Low Spend</v>
      </c>
      <c r="N161" t="str">
        <f>_xlfn.IFS(F161=1,"1 Item",F161&lt;=3,"2-3 Items",F161&lt;=5,"4-5 Items",TRUE,"6+ Items")</f>
        <v>1 Item</v>
      </c>
      <c r="O161" t="str">
        <f>TEXT(I161,"mmm")</f>
        <v>Aug</v>
      </c>
      <c r="P161">
        <f>MONTH(I161)</f>
        <v>8</v>
      </c>
      <c r="Q161">
        <f>YEAR(I161)</f>
        <v>2022</v>
      </c>
      <c r="R161" t="str">
        <f>IF(K161&gt;=5000,"High Value","Regular")</f>
        <v>Regular</v>
      </c>
      <c r="S161" t="str">
        <f>IF(F161&gt;=4,"Bulk Order","Normal Order")</f>
        <v>Normal Order</v>
      </c>
    </row>
    <row r="162" spans="1:19" x14ac:dyDescent="0.3">
      <c r="A162" t="s">
        <v>700</v>
      </c>
      <c r="B162" t="s">
        <v>699</v>
      </c>
      <c r="C162" t="s">
        <v>3</v>
      </c>
      <c r="D162">
        <v>51</v>
      </c>
      <c r="E162" t="s">
        <v>8</v>
      </c>
      <c r="F162">
        <v>4</v>
      </c>
      <c r="G162">
        <v>1200.32</v>
      </c>
      <c r="H162" t="s">
        <v>15</v>
      </c>
      <c r="I162" s="1">
        <v>44520</v>
      </c>
      <c r="J162" t="s">
        <v>102</v>
      </c>
      <c r="K162">
        <f>F162*G162</f>
        <v>4801.28</v>
      </c>
      <c r="L162" t="str">
        <f>_xlfn.IFS(D162&lt;20,"Below 20",D162&lt;=30,"20-30",D162&lt;=40,"31-40",D162&lt;=50,"41-50",D162&lt;=60,"51-60",TRUE,"60+")</f>
        <v>51-60</v>
      </c>
      <c r="M162" t="str">
        <f>_xlfn.IFS(K162&lt;500,"Low Spend",K162&lt;=2000,"Medium Spend",K162&lt;=5000,"High Spend",TRUE,"Premium Spend")</f>
        <v>High Spend</v>
      </c>
      <c r="N162" t="str">
        <f>_xlfn.IFS(F162=1,"1 Item",F162&lt;=3,"2-3 Items",F162&lt;=5,"4-5 Items",TRUE,"6+ Items")</f>
        <v>4-5 Items</v>
      </c>
      <c r="O162" t="str">
        <f>TEXT(I162,"mmm")</f>
        <v>Nov</v>
      </c>
      <c r="P162">
        <f>MONTH(I162)</f>
        <v>11</v>
      </c>
      <c r="Q162">
        <f>YEAR(I162)</f>
        <v>2021</v>
      </c>
      <c r="R162" t="str">
        <f>IF(K162&gt;=5000,"High Value","Regular")</f>
        <v>Regular</v>
      </c>
      <c r="S162" t="str">
        <f>IF(F162&gt;=4,"Bulk Order","Normal Order")</f>
        <v>Bulk Order</v>
      </c>
    </row>
    <row r="163" spans="1:19" x14ac:dyDescent="0.3">
      <c r="A163" t="s">
        <v>698</v>
      </c>
      <c r="B163" t="s">
        <v>697</v>
      </c>
      <c r="C163" t="s">
        <v>3</v>
      </c>
      <c r="D163">
        <v>23</v>
      </c>
      <c r="E163" t="s">
        <v>16</v>
      </c>
      <c r="F163">
        <v>2</v>
      </c>
      <c r="G163">
        <v>10.46</v>
      </c>
      <c r="H163" t="s">
        <v>1</v>
      </c>
      <c r="I163" s="1">
        <v>44408</v>
      </c>
      <c r="J163" t="s">
        <v>6</v>
      </c>
      <c r="K163">
        <f>F163*G163</f>
        <v>20.92</v>
      </c>
      <c r="L163" t="str">
        <f>_xlfn.IFS(D163&lt;20,"Below 20",D163&lt;=30,"20-30",D163&lt;=40,"31-40",D163&lt;=50,"41-50",D163&lt;=60,"51-60",TRUE,"60+")</f>
        <v>20-30</v>
      </c>
      <c r="M163" t="str">
        <f>_xlfn.IFS(K163&lt;500,"Low Spend",K163&lt;=2000,"Medium Spend",K163&lt;=5000,"High Spend",TRUE,"Premium Spend")</f>
        <v>Low Spend</v>
      </c>
      <c r="N163" t="str">
        <f>_xlfn.IFS(F163=1,"1 Item",F163&lt;=3,"2-3 Items",F163&lt;=5,"4-5 Items",TRUE,"6+ Items")</f>
        <v>2-3 Items</v>
      </c>
      <c r="O163" t="str">
        <f>TEXT(I163,"mmm")</f>
        <v>Jul</v>
      </c>
      <c r="P163">
        <f>MONTH(I163)</f>
        <v>7</v>
      </c>
      <c r="Q163">
        <f>YEAR(I163)</f>
        <v>2021</v>
      </c>
      <c r="R163" t="str">
        <f>IF(K163&gt;=5000,"High Value","Regular")</f>
        <v>Regular</v>
      </c>
      <c r="S163" t="str">
        <f>IF(F163&gt;=4,"Bulk Order","Normal Order")</f>
        <v>Normal Order</v>
      </c>
    </row>
    <row r="164" spans="1:19" x14ac:dyDescent="0.3">
      <c r="A164" t="s">
        <v>696</v>
      </c>
      <c r="B164" t="s">
        <v>695</v>
      </c>
      <c r="C164" t="s">
        <v>12</v>
      </c>
      <c r="D164">
        <v>40</v>
      </c>
      <c r="E164" t="s">
        <v>2</v>
      </c>
      <c r="F164">
        <v>2</v>
      </c>
      <c r="G164">
        <v>71.680000000000007</v>
      </c>
      <c r="H164" t="s">
        <v>15</v>
      </c>
      <c r="I164" s="1">
        <v>44612</v>
      </c>
      <c r="J164" t="s">
        <v>28</v>
      </c>
      <c r="K164">
        <f>F164*G164</f>
        <v>143.36000000000001</v>
      </c>
      <c r="L164" t="str">
        <f>_xlfn.IFS(D164&lt;20,"Below 20",D164&lt;=30,"20-30",D164&lt;=40,"31-40",D164&lt;=50,"41-50",D164&lt;=60,"51-60",TRUE,"60+")</f>
        <v>31-40</v>
      </c>
      <c r="M164" t="str">
        <f>_xlfn.IFS(K164&lt;500,"Low Spend",K164&lt;=2000,"Medium Spend",K164&lt;=5000,"High Spend",TRUE,"Premium Spend")</f>
        <v>Low Spend</v>
      </c>
      <c r="N164" t="str">
        <f>_xlfn.IFS(F164=1,"1 Item",F164&lt;=3,"2-3 Items",F164&lt;=5,"4-5 Items",TRUE,"6+ Items")</f>
        <v>2-3 Items</v>
      </c>
      <c r="O164" t="str">
        <f>TEXT(I164,"mmm")</f>
        <v>Feb</v>
      </c>
      <c r="P164">
        <f>MONTH(I164)</f>
        <v>2</v>
      </c>
      <c r="Q164">
        <f>YEAR(I164)</f>
        <v>2022</v>
      </c>
      <c r="R164" t="str">
        <f>IF(K164&gt;=5000,"High Value","Regular")</f>
        <v>Regular</v>
      </c>
      <c r="S164" t="str">
        <f>IF(F164&gt;=4,"Bulk Order","Normal Order")</f>
        <v>Normal Order</v>
      </c>
    </row>
    <row r="165" spans="1:19" x14ac:dyDescent="0.3">
      <c r="A165" t="s">
        <v>694</v>
      </c>
      <c r="B165" t="s">
        <v>693</v>
      </c>
      <c r="C165" t="s">
        <v>12</v>
      </c>
      <c r="D165">
        <v>37</v>
      </c>
      <c r="E165" t="s">
        <v>8</v>
      </c>
      <c r="F165">
        <v>5</v>
      </c>
      <c r="G165">
        <v>1500.4</v>
      </c>
      <c r="H165" t="s">
        <v>15</v>
      </c>
      <c r="I165" s="1">
        <v>44966</v>
      </c>
      <c r="J165" t="s">
        <v>38</v>
      </c>
      <c r="K165">
        <f>F165*G165</f>
        <v>7502</v>
      </c>
      <c r="L165" t="str">
        <f>_xlfn.IFS(D165&lt;20,"Below 20",D165&lt;=30,"20-30",D165&lt;=40,"31-40",D165&lt;=50,"41-50",D165&lt;=60,"51-60",TRUE,"60+")</f>
        <v>31-40</v>
      </c>
      <c r="M165" t="str">
        <f>_xlfn.IFS(K165&lt;500,"Low Spend",K165&lt;=2000,"Medium Spend",K165&lt;=5000,"High Spend",TRUE,"Premium Spend")</f>
        <v>Premium Spend</v>
      </c>
      <c r="N165" t="str">
        <f>_xlfn.IFS(F165=1,"1 Item",F165&lt;=3,"2-3 Items",F165&lt;=5,"4-5 Items",TRUE,"6+ Items")</f>
        <v>4-5 Items</v>
      </c>
      <c r="O165" t="str">
        <f>TEXT(I165,"mmm")</f>
        <v>Feb</v>
      </c>
      <c r="P165">
        <f>MONTH(I165)</f>
        <v>2</v>
      </c>
      <c r="Q165">
        <f>YEAR(I165)</f>
        <v>2023</v>
      </c>
      <c r="R165" t="str">
        <f>IF(K165&gt;=5000,"High Value","Regular")</f>
        <v>High Value</v>
      </c>
      <c r="S165" t="str">
        <f>IF(F165&gt;=4,"Bulk Order","Normal Order")</f>
        <v>Bulk Order</v>
      </c>
    </row>
    <row r="166" spans="1:19" x14ac:dyDescent="0.3">
      <c r="A166" t="s">
        <v>692</v>
      </c>
      <c r="B166" t="s">
        <v>691</v>
      </c>
      <c r="C166" t="s">
        <v>3</v>
      </c>
      <c r="D166">
        <v>24</v>
      </c>
      <c r="E166" t="s">
        <v>8</v>
      </c>
      <c r="F166">
        <v>1</v>
      </c>
      <c r="G166">
        <v>300.08</v>
      </c>
      <c r="H166" t="s">
        <v>15</v>
      </c>
      <c r="I166" s="1">
        <v>44279</v>
      </c>
      <c r="J166" t="s">
        <v>22</v>
      </c>
      <c r="K166">
        <f>F166*G166</f>
        <v>300.08</v>
      </c>
      <c r="L166" t="str">
        <f>_xlfn.IFS(D166&lt;20,"Below 20",D166&lt;=30,"20-30",D166&lt;=40,"31-40",D166&lt;=50,"41-50",D166&lt;=60,"51-60",TRUE,"60+")</f>
        <v>20-30</v>
      </c>
      <c r="M166" t="str">
        <f>_xlfn.IFS(K166&lt;500,"Low Spend",K166&lt;=2000,"Medium Spend",K166&lt;=5000,"High Spend",TRUE,"Premium Spend")</f>
        <v>Low Spend</v>
      </c>
      <c r="N166" t="str">
        <f>_xlfn.IFS(F166=1,"1 Item",F166&lt;=3,"2-3 Items",F166&lt;=5,"4-5 Items",TRUE,"6+ Items")</f>
        <v>1 Item</v>
      </c>
      <c r="O166" t="str">
        <f>TEXT(I166,"mmm")</f>
        <v>Mar</v>
      </c>
      <c r="P166">
        <f>MONTH(I166)</f>
        <v>3</v>
      </c>
      <c r="Q166">
        <f>YEAR(I166)</f>
        <v>2021</v>
      </c>
      <c r="R166" t="str">
        <f>IF(K166&gt;=5000,"High Value","Regular")</f>
        <v>Regular</v>
      </c>
      <c r="S166" t="str">
        <f>IF(F166&gt;=4,"Bulk Order","Normal Order")</f>
        <v>Normal Order</v>
      </c>
    </row>
    <row r="167" spans="1:19" x14ac:dyDescent="0.3">
      <c r="A167" t="s">
        <v>690</v>
      </c>
      <c r="B167" t="s">
        <v>689</v>
      </c>
      <c r="C167" t="s">
        <v>12</v>
      </c>
      <c r="D167">
        <v>22</v>
      </c>
      <c r="E167" t="s">
        <v>16</v>
      </c>
      <c r="F167">
        <v>1</v>
      </c>
      <c r="G167">
        <v>5.23</v>
      </c>
      <c r="H167" t="s">
        <v>1</v>
      </c>
      <c r="I167" s="1">
        <v>44798</v>
      </c>
      <c r="J167" t="s">
        <v>28</v>
      </c>
      <c r="K167">
        <f>F167*G167</f>
        <v>5.23</v>
      </c>
      <c r="L167" t="str">
        <f>_xlfn.IFS(D167&lt;20,"Below 20",D167&lt;=30,"20-30",D167&lt;=40,"31-40",D167&lt;=50,"41-50",D167&lt;=60,"51-60",TRUE,"60+")</f>
        <v>20-30</v>
      </c>
      <c r="M167" t="str">
        <f>_xlfn.IFS(K167&lt;500,"Low Spend",K167&lt;=2000,"Medium Spend",K167&lt;=5000,"High Spend",TRUE,"Premium Spend")</f>
        <v>Low Spend</v>
      </c>
      <c r="N167" t="str">
        <f>_xlfn.IFS(F167=1,"1 Item",F167&lt;=3,"2-3 Items",F167&lt;=5,"4-5 Items",TRUE,"6+ Items")</f>
        <v>1 Item</v>
      </c>
      <c r="O167" t="str">
        <f>TEXT(I167,"mmm")</f>
        <v>Aug</v>
      </c>
      <c r="P167">
        <f>MONTH(I167)</f>
        <v>8</v>
      </c>
      <c r="Q167">
        <f>YEAR(I167)</f>
        <v>2022</v>
      </c>
      <c r="R167" t="str">
        <f>IF(K167&gt;=5000,"High Value","Regular")</f>
        <v>Regular</v>
      </c>
      <c r="S167" t="str">
        <f>IF(F167&gt;=4,"Bulk Order","Normal Order")</f>
        <v>Normal Order</v>
      </c>
    </row>
    <row r="168" spans="1:19" x14ac:dyDescent="0.3">
      <c r="A168" t="s">
        <v>688</v>
      </c>
      <c r="B168" t="s">
        <v>687</v>
      </c>
      <c r="C168" t="s">
        <v>3</v>
      </c>
      <c r="D168">
        <v>61</v>
      </c>
      <c r="E168" t="s">
        <v>19</v>
      </c>
      <c r="F168">
        <v>4</v>
      </c>
      <c r="G168">
        <v>162.63999999999999</v>
      </c>
      <c r="H168" t="s">
        <v>15</v>
      </c>
      <c r="I168" s="1">
        <v>44490</v>
      </c>
      <c r="J168" t="s">
        <v>28</v>
      </c>
      <c r="K168">
        <f>F168*G168</f>
        <v>650.55999999999995</v>
      </c>
      <c r="L168" t="str">
        <f>_xlfn.IFS(D168&lt;20,"Below 20",D168&lt;=30,"20-30",D168&lt;=40,"31-40",D168&lt;=50,"41-50",D168&lt;=60,"51-60",TRUE,"60+")</f>
        <v>60+</v>
      </c>
      <c r="M168" t="str">
        <f>_xlfn.IFS(K168&lt;500,"Low Spend",K168&lt;=2000,"Medium Spend",K168&lt;=5000,"High Spend",TRUE,"Premium Spend")</f>
        <v>Medium Spend</v>
      </c>
      <c r="N168" t="str">
        <f>_xlfn.IFS(F168=1,"1 Item",F168&lt;=3,"2-3 Items",F168&lt;=5,"4-5 Items",TRUE,"6+ Items")</f>
        <v>4-5 Items</v>
      </c>
      <c r="O168" t="str">
        <f>TEXT(I168,"mmm")</f>
        <v>Oct</v>
      </c>
      <c r="P168">
        <f>MONTH(I168)</f>
        <v>10</v>
      </c>
      <c r="Q168">
        <f>YEAR(I168)</f>
        <v>2021</v>
      </c>
      <c r="R168" t="str">
        <f>IF(K168&gt;=5000,"High Value","Regular")</f>
        <v>Regular</v>
      </c>
      <c r="S168" t="str">
        <f>IF(F168&gt;=4,"Bulk Order","Normal Order")</f>
        <v>Bulk Order</v>
      </c>
    </row>
    <row r="169" spans="1:19" x14ac:dyDescent="0.3">
      <c r="A169" t="s">
        <v>686</v>
      </c>
      <c r="B169" t="s">
        <v>685</v>
      </c>
      <c r="C169" t="s">
        <v>3</v>
      </c>
      <c r="D169">
        <v>25</v>
      </c>
      <c r="E169" t="s">
        <v>16</v>
      </c>
      <c r="F169">
        <v>2</v>
      </c>
      <c r="G169">
        <v>10.46</v>
      </c>
      <c r="H169" t="s">
        <v>1</v>
      </c>
      <c r="I169" s="1">
        <v>44709</v>
      </c>
      <c r="J169" t="s">
        <v>11</v>
      </c>
      <c r="K169">
        <f>F169*G169</f>
        <v>20.92</v>
      </c>
      <c r="L169" t="str">
        <f>_xlfn.IFS(D169&lt;20,"Below 20",D169&lt;=30,"20-30",D169&lt;=40,"31-40",D169&lt;=50,"41-50",D169&lt;=60,"51-60",TRUE,"60+")</f>
        <v>20-30</v>
      </c>
      <c r="M169" t="str">
        <f>_xlfn.IFS(K169&lt;500,"Low Spend",K169&lt;=2000,"Medium Spend",K169&lt;=5000,"High Spend",TRUE,"Premium Spend")</f>
        <v>Low Spend</v>
      </c>
      <c r="N169" t="str">
        <f>_xlfn.IFS(F169=1,"1 Item",F169&lt;=3,"2-3 Items",F169&lt;=5,"4-5 Items",TRUE,"6+ Items")</f>
        <v>2-3 Items</v>
      </c>
      <c r="O169" t="str">
        <f>TEXT(I169,"mmm")</f>
        <v>May</v>
      </c>
      <c r="P169">
        <f>MONTH(I169)</f>
        <v>5</v>
      </c>
      <c r="Q169">
        <f>YEAR(I169)</f>
        <v>2022</v>
      </c>
      <c r="R169" t="str">
        <f>IF(K169&gt;=5000,"High Value","Regular")</f>
        <v>Regular</v>
      </c>
      <c r="S169" t="str">
        <f>IF(F169&gt;=4,"Bulk Order","Normal Order")</f>
        <v>Normal Order</v>
      </c>
    </row>
    <row r="170" spans="1:19" x14ac:dyDescent="0.3">
      <c r="A170" t="s">
        <v>684</v>
      </c>
      <c r="B170" t="s">
        <v>683</v>
      </c>
      <c r="C170" t="s">
        <v>3</v>
      </c>
      <c r="D170">
        <v>66</v>
      </c>
      <c r="E170" t="s">
        <v>23</v>
      </c>
      <c r="F170">
        <v>5</v>
      </c>
      <c r="G170">
        <v>58.65</v>
      </c>
      <c r="H170" t="s">
        <v>1</v>
      </c>
      <c r="I170" s="1">
        <v>44625</v>
      </c>
      <c r="J170" t="s">
        <v>107</v>
      </c>
      <c r="K170">
        <f>F170*G170</f>
        <v>293.25</v>
      </c>
      <c r="L170" t="str">
        <f>_xlfn.IFS(D170&lt;20,"Below 20",D170&lt;=30,"20-30",D170&lt;=40,"31-40",D170&lt;=50,"41-50",D170&lt;=60,"51-60",TRUE,"60+")</f>
        <v>60+</v>
      </c>
      <c r="M170" t="str">
        <f>_xlfn.IFS(K170&lt;500,"Low Spend",K170&lt;=2000,"Medium Spend",K170&lt;=5000,"High Spend",TRUE,"Premium Spend")</f>
        <v>Low Spend</v>
      </c>
      <c r="N170" t="str">
        <f>_xlfn.IFS(F170=1,"1 Item",F170&lt;=3,"2-3 Items",F170&lt;=5,"4-5 Items",TRUE,"6+ Items")</f>
        <v>4-5 Items</v>
      </c>
      <c r="O170" t="str">
        <f>TEXT(I170,"mmm")</f>
        <v>Mar</v>
      </c>
      <c r="P170">
        <f>MONTH(I170)</f>
        <v>3</v>
      </c>
      <c r="Q170">
        <f>YEAR(I170)</f>
        <v>2022</v>
      </c>
      <c r="R170" t="str">
        <f>IF(K170&gt;=5000,"High Value","Regular")</f>
        <v>Regular</v>
      </c>
      <c r="S170" t="str">
        <f>IF(F170&gt;=4,"Bulk Order","Normal Order")</f>
        <v>Bulk Order</v>
      </c>
    </row>
    <row r="171" spans="1:19" x14ac:dyDescent="0.3">
      <c r="A171" t="s">
        <v>682</v>
      </c>
      <c r="B171" t="s">
        <v>681</v>
      </c>
      <c r="C171" t="s">
        <v>3</v>
      </c>
      <c r="D171">
        <v>59</v>
      </c>
      <c r="E171" t="s">
        <v>31</v>
      </c>
      <c r="F171">
        <v>1</v>
      </c>
      <c r="G171">
        <v>600.16999999999996</v>
      </c>
      <c r="H171" t="s">
        <v>15</v>
      </c>
      <c r="I171" s="1">
        <v>44474</v>
      </c>
      <c r="J171" t="s">
        <v>28</v>
      </c>
      <c r="K171">
        <f>F171*G171</f>
        <v>600.16999999999996</v>
      </c>
      <c r="L171" t="str">
        <f>_xlfn.IFS(D171&lt;20,"Below 20",D171&lt;=30,"20-30",D171&lt;=40,"31-40",D171&lt;=50,"41-50",D171&lt;=60,"51-60",TRUE,"60+")</f>
        <v>51-60</v>
      </c>
      <c r="M171" t="str">
        <f>_xlfn.IFS(K171&lt;500,"Low Spend",K171&lt;=2000,"Medium Spend",K171&lt;=5000,"High Spend",TRUE,"Premium Spend")</f>
        <v>Medium Spend</v>
      </c>
      <c r="N171" t="str">
        <f>_xlfn.IFS(F171=1,"1 Item",F171&lt;=3,"2-3 Items",F171&lt;=5,"4-5 Items",TRUE,"6+ Items")</f>
        <v>1 Item</v>
      </c>
      <c r="O171" t="str">
        <f>TEXT(I171,"mmm")</f>
        <v>Oct</v>
      </c>
      <c r="P171">
        <f>MONTH(I171)</f>
        <v>10</v>
      </c>
      <c r="Q171">
        <f>YEAR(I171)</f>
        <v>2021</v>
      </c>
      <c r="R171" t="str">
        <f>IF(K171&gt;=5000,"High Value","Regular")</f>
        <v>Regular</v>
      </c>
      <c r="S171" t="str">
        <f>IF(F171&gt;=4,"Bulk Order","Normal Order")</f>
        <v>Normal Order</v>
      </c>
    </row>
    <row r="172" spans="1:19" x14ac:dyDescent="0.3">
      <c r="A172" t="s">
        <v>680</v>
      </c>
      <c r="B172" t="s">
        <v>679</v>
      </c>
      <c r="C172" t="s">
        <v>12</v>
      </c>
      <c r="D172">
        <v>38</v>
      </c>
      <c r="E172" t="s">
        <v>8</v>
      </c>
      <c r="F172">
        <v>4</v>
      </c>
      <c r="G172">
        <v>1200.32</v>
      </c>
      <c r="H172" t="s">
        <v>15</v>
      </c>
      <c r="I172" s="1">
        <v>44302</v>
      </c>
      <c r="J172" t="s">
        <v>68</v>
      </c>
      <c r="K172">
        <f>F172*G172</f>
        <v>4801.28</v>
      </c>
      <c r="L172" t="str">
        <f>_xlfn.IFS(D172&lt;20,"Below 20",D172&lt;=30,"20-30",D172&lt;=40,"31-40",D172&lt;=50,"41-50",D172&lt;=60,"51-60",TRUE,"60+")</f>
        <v>31-40</v>
      </c>
      <c r="M172" t="str">
        <f>_xlfn.IFS(K172&lt;500,"Low Spend",K172&lt;=2000,"Medium Spend",K172&lt;=5000,"High Spend",TRUE,"Premium Spend")</f>
        <v>High Spend</v>
      </c>
      <c r="N172" t="str">
        <f>_xlfn.IFS(F172=1,"1 Item",F172&lt;=3,"2-3 Items",F172&lt;=5,"4-5 Items",TRUE,"6+ Items")</f>
        <v>4-5 Items</v>
      </c>
      <c r="O172" t="str">
        <f>TEXT(I172,"mmm")</f>
        <v>Apr</v>
      </c>
      <c r="P172">
        <f>MONTH(I172)</f>
        <v>4</v>
      </c>
      <c r="Q172">
        <f>YEAR(I172)</f>
        <v>2021</v>
      </c>
      <c r="R172" t="str">
        <f>IF(K172&gt;=5000,"High Value","Regular")</f>
        <v>Regular</v>
      </c>
      <c r="S172" t="str">
        <f>IF(F172&gt;=4,"Bulk Order","Normal Order")</f>
        <v>Bulk Order</v>
      </c>
    </row>
    <row r="173" spans="1:19" x14ac:dyDescent="0.3">
      <c r="A173" t="s">
        <v>678</v>
      </c>
      <c r="B173" t="s">
        <v>677</v>
      </c>
      <c r="C173" t="s">
        <v>12</v>
      </c>
      <c r="D173">
        <v>34</v>
      </c>
      <c r="E173" t="s">
        <v>2</v>
      </c>
      <c r="F173">
        <v>2</v>
      </c>
      <c r="G173">
        <v>71.680000000000007</v>
      </c>
      <c r="H173" t="s">
        <v>7</v>
      </c>
      <c r="I173" s="1">
        <v>44983</v>
      </c>
      <c r="J173" t="s">
        <v>11</v>
      </c>
      <c r="K173">
        <f>F173*G173</f>
        <v>143.36000000000001</v>
      </c>
      <c r="L173" t="str">
        <f>_xlfn.IFS(D173&lt;20,"Below 20",D173&lt;=30,"20-30",D173&lt;=40,"31-40",D173&lt;=50,"41-50",D173&lt;=60,"51-60",TRUE,"60+")</f>
        <v>31-40</v>
      </c>
      <c r="M173" t="str">
        <f>_xlfn.IFS(K173&lt;500,"Low Spend",K173&lt;=2000,"Medium Spend",K173&lt;=5000,"High Spend",TRUE,"Premium Spend")</f>
        <v>Low Spend</v>
      </c>
      <c r="N173" t="str">
        <f>_xlfn.IFS(F173=1,"1 Item",F173&lt;=3,"2-3 Items",F173&lt;=5,"4-5 Items",TRUE,"6+ Items")</f>
        <v>2-3 Items</v>
      </c>
      <c r="O173" t="str">
        <f>TEXT(I173,"mmm")</f>
        <v>Feb</v>
      </c>
      <c r="P173">
        <f>MONTH(I173)</f>
        <v>2</v>
      </c>
      <c r="Q173">
        <f>YEAR(I173)</f>
        <v>2023</v>
      </c>
      <c r="R173" t="str">
        <f>IF(K173&gt;=5000,"High Value","Regular")</f>
        <v>Regular</v>
      </c>
      <c r="S173" t="str">
        <f>IF(F173&gt;=4,"Bulk Order","Normal Order")</f>
        <v>Normal Order</v>
      </c>
    </row>
    <row r="174" spans="1:19" x14ac:dyDescent="0.3">
      <c r="A174" t="s">
        <v>676</v>
      </c>
      <c r="B174" t="s">
        <v>675</v>
      </c>
      <c r="C174" t="s">
        <v>3</v>
      </c>
      <c r="D174">
        <v>26</v>
      </c>
      <c r="E174" t="s">
        <v>8</v>
      </c>
      <c r="F174">
        <v>1</v>
      </c>
      <c r="G174">
        <v>300.08</v>
      </c>
      <c r="H174" t="s">
        <v>15</v>
      </c>
      <c r="I174" s="1">
        <v>44275</v>
      </c>
      <c r="J174" t="s">
        <v>28</v>
      </c>
      <c r="K174">
        <f>F174*G174</f>
        <v>300.08</v>
      </c>
      <c r="L174" t="str">
        <f>_xlfn.IFS(D174&lt;20,"Below 20",D174&lt;=30,"20-30",D174&lt;=40,"31-40",D174&lt;=50,"41-50",D174&lt;=60,"51-60",TRUE,"60+")</f>
        <v>20-30</v>
      </c>
      <c r="M174" t="str">
        <f>_xlfn.IFS(K174&lt;500,"Low Spend",K174&lt;=2000,"Medium Spend",K174&lt;=5000,"High Spend",TRUE,"Premium Spend")</f>
        <v>Low Spend</v>
      </c>
      <c r="N174" t="str">
        <f>_xlfn.IFS(F174=1,"1 Item",F174&lt;=3,"2-3 Items",F174&lt;=5,"4-5 Items",TRUE,"6+ Items")</f>
        <v>1 Item</v>
      </c>
      <c r="O174" t="str">
        <f>TEXT(I174,"mmm")</f>
        <v>Mar</v>
      </c>
      <c r="P174">
        <f>MONTH(I174)</f>
        <v>3</v>
      </c>
      <c r="Q174">
        <f>YEAR(I174)</f>
        <v>2021</v>
      </c>
      <c r="R174" t="str">
        <f>IF(K174&gt;=5000,"High Value","Regular")</f>
        <v>Regular</v>
      </c>
      <c r="S174" t="str">
        <f>IF(F174&gt;=4,"Bulk Order","Normal Order")</f>
        <v>Normal Order</v>
      </c>
    </row>
    <row r="175" spans="1:19" x14ac:dyDescent="0.3">
      <c r="A175" t="s">
        <v>674</v>
      </c>
      <c r="B175" t="s">
        <v>673</v>
      </c>
      <c r="C175" t="s">
        <v>3</v>
      </c>
      <c r="D175">
        <v>59</v>
      </c>
      <c r="E175" t="s">
        <v>23</v>
      </c>
      <c r="F175">
        <v>5</v>
      </c>
      <c r="G175">
        <v>58.65</v>
      </c>
      <c r="H175" t="s">
        <v>15</v>
      </c>
      <c r="I175" s="1">
        <v>44696</v>
      </c>
      <c r="J175" t="s">
        <v>11</v>
      </c>
      <c r="K175">
        <f>F175*G175</f>
        <v>293.25</v>
      </c>
      <c r="L175" t="str">
        <f>_xlfn.IFS(D175&lt;20,"Below 20",D175&lt;=30,"20-30",D175&lt;=40,"31-40",D175&lt;=50,"41-50",D175&lt;=60,"51-60",TRUE,"60+")</f>
        <v>51-60</v>
      </c>
      <c r="M175" t="str">
        <f>_xlfn.IFS(K175&lt;500,"Low Spend",K175&lt;=2000,"Medium Spend",K175&lt;=5000,"High Spend",TRUE,"Premium Spend")</f>
        <v>Low Spend</v>
      </c>
      <c r="N175" t="str">
        <f>_xlfn.IFS(F175=1,"1 Item",F175&lt;=3,"2-3 Items",F175&lt;=5,"4-5 Items",TRUE,"6+ Items")</f>
        <v>4-5 Items</v>
      </c>
      <c r="O175" t="str">
        <f>TEXT(I175,"mmm")</f>
        <v>May</v>
      </c>
      <c r="P175">
        <f>MONTH(I175)</f>
        <v>5</v>
      </c>
      <c r="Q175">
        <f>YEAR(I175)</f>
        <v>2022</v>
      </c>
      <c r="R175" t="str">
        <f>IF(K175&gt;=5000,"High Value","Regular")</f>
        <v>Regular</v>
      </c>
      <c r="S175" t="str">
        <f>IF(F175&gt;=4,"Bulk Order","Normal Order")</f>
        <v>Bulk Order</v>
      </c>
    </row>
    <row r="176" spans="1:19" x14ac:dyDescent="0.3">
      <c r="A176" t="s">
        <v>672</v>
      </c>
      <c r="B176" t="s">
        <v>671</v>
      </c>
      <c r="C176" t="s">
        <v>3</v>
      </c>
      <c r="D176">
        <v>53</v>
      </c>
      <c r="E176" t="s">
        <v>2</v>
      </c>
      <c r="F176">
        <v>1</v>
      </c>
      <c r="G176">
        <v>35.840000000000003</v>
      </c>
      <c r="H176" t="s">
        <v>7</v>
      </c>
      <c r="I176" s="1">
        <v>44957</v>
      </c>
      <c r="J176" t="s">
        <v>22</v>
      </c>
      <c r="K176">
        <f>F176*G176</f>
        <v>35.840000000000003</v>
      </c>
      <c r="L176" t="str">
        <f>_xlfn.IFS(D176&lt;20,"Below 20",D176&lt;=30,"20-30",D176&lt;=40,"31-40",D176&lt;=50,"41-50",D176&lt;=60,"51-60",TRUE,"60+")</f>
        <v>51-60</v>
      </c>
      <c r="M176" t="str">
        <f>_xlfn.IFS(K176&lt;500,"Low Spend",K176&lt;=2000,"Medium Spend",K176&lt;=5000,"High Spend",TRUE,"Premium Spend")</f>
        <v>Low Spend</v>
      </c>
      <c r="N176" t="str">
        <f>_xlfn.IFS(F176=1,"1 Item",F176&lt;=3,"2-3 Items",F176&lt;=5,"4-5 Items",TRUE,"6+ Items")</f>
        <v>1 Item</v>
      </c>
      <c r="O176" t="str">
        <f>TEXT(I176,"mmm")</f>
        <v>Jan</v>
      </c>
      <c r="P176">
        <f>MONTH(I176)</f>
        <v>1</v>
      </c>
      <c r="Q176">
        <f>YEAR(I176)</f>
        <v>2023</v>
      </c>
      <c r="R176" t="str">
        <f>IF(K176&gt;=5000,"High Value","Regular")</f>
        <v>Regular</v>
      </c>
      <c r="S176" t="str">
        <f>IF(F176&gt;=4,"Bulk Order","Normal Order")</f>
        <v>Normal Order</v>
      </c>
    </row>
    <row r="177" spans="1:19" x14ac:dyDescent="0.3">
      <c r="A177" t="s">
        <v>670</v>
      </c>
      <c r="B177" t="s">
        <v>669</v>
      </c>
      <c r="C177" t="s">
        <v>12</v>
      </c>
      <c r="D177">
        <v>23</v>
      </c>
      <c r="E177" t="s">
        <v>19</v>
      </c>
      <c r="F177">
        <v>4</v>
      </c>
      <c r="G177">
        <v>162.63999999999999</v>
      </c>
      <c r="H177" t="s">
        <v>7</v>
      </c>
      <c r="I177" s="1">
        <v>44471</v>
      </c>
      <c r="J177" t="s">
        <v>6</v>
      </c>
      <c r="K177">
        <f>F177*G177</f>
        <v>650.55999999999995</v>
      </c>
      <c r="L177" t="str">
        <f>_xlfn.IFS(D177&lt;20,"Below 20",D177&lt;=30,"20-30",D177&lt;=40,"31-40",D177&lt;=50,"41-50",D177&lt;=60,"51-60",TRUE,"60+")</f>
        <v>20-30</v>
      </c>
      <c r="M177" t="str">
        <f>_xlfn.IFS(K177&lt;500,"Low Spend",K177&lt;=2000,"Medium Spend",K177&lt;=5000,"High Spend",TRUE,"Premium Spend")</f>
        <v>Medium Spend</v>
      </c>
      <c r="N177" t="str">
        <f>_xlfn.IFS(F177=1,"1 Item",F177&lt;=3,"2-3 Items",F177&lt;=5,"4-5 Items",TRUE,"6+ Items")</f>
        <v>4-5 Items</v>
      </c>
      <c r="O177" t="str">
        <f>TEXT(I177,"mmm")</f>
        <v>Oct</v>
      </c>
      <c r="P177">
        <f>MONTH(I177)</f>
        <v>10</v>
      </c>
      <c r="Q177">
        <f>YEAR(I177)</f>
        <v>2021</v>
      </c>
      <c r="R177" t="str">
        <f>IF(K177&gt;=5000,"High Value","Regular")</f>
        <v>Regular</v>
      </c>
      <c r="S177" t="str">
        <f>IF(F177&gt;=4,"Bulk Order","Normal Order")</f>
        <v>Bulk Order</v>
      </c>
    </row>
    <row r="178" spans="1:19" x14ac:dyDescent="0.3">
      <c r="A178" t="s">
        <v>668</v>
      </c>
      <c r="B178" t="s">
        <v>667</v>
      </c>
      <c r="C178" t="s">
        <v>3</v>
      </c>
      <c r="D178">
        <v>23</v>
      </c>
      <c r="E178" t="s">
        <v>8</v>
      </c>
      <c r="F178">
        <v>5</v>
      </c>
      <c r="G178">
        <v>1500.4</v>
      </c>
      <c r="H178" t="s">
        <v>1</v>
      </c>
      <c r="I178" s="1">
        <v>44776</v>
      </c>
      <c r="J178" t="s">
        <v>6</v>
      </c>
      <c r="K178">
        <f>F178*G178</f>
        <v>7502</v>
      </c>
      <c r="L178" t="str">
        <f>_xlfn.IFS(D178&lt;20,"Below 20",D178&lt;=30,"20-30",D178&lt;=40,"31-40",D178&lt;=50,"41-50",D178&lt;=60,"51-60",TRUE,"60+")</f>
        <v>20-30</v>
      </c>
      <c r="M178" t="str">
        <f>_xlfn.IFS(K178&lt;500,"Low Spend",K178&lt;=2000,"Medium Spend",K178&lt;=5000,"High Spend",TRUE,"Premium Spend")</f>
        <v>Premium Spend</v>
      </c>
      <c r="N178" t="str">
        <f>_xlfn.IFS(F178=1,"1 Item",F178&lt;=3,"2-3 Items",F178&lt;=5,"4-5 Items",TRUE,"6+ Items")</f>
        <v>4-5 Items</v>
      </c>
      <c r="O178" t="str">
        <f>TEXT(I178,"mmm")</f>
        <v>Aug</v>
      </c>
      <c r="P178">
        <f>MONTH(I178)</f>
        <v>8</v>
      </c>
      <c r="Q178">
        <f>YEAR(I178)</f>
        <v>2022</v>
      </c>
      <c r="R178" t="str">
        <f>IF(K178&gt;=5000,"High Value","Regular")</f>
        <v>High Value</v>
      </c>
      <c r="S178" t="str">
        <f>IF(F178&gt;=4,"Bulk Order","Normal Order")</f>
        <v>Bulk Order</v>
      </c>
    </row>
    <row r="179" spans="1:19" x14ac:dyDescent="0.3">
      <c r="A179" t="s">
        <v>666</v>
      </c>
      <c r="B179" t="s">
        <v>665</v>
      </c>
      <c r="C179" t="s">
        <v>3</v>
      </c>
      <c r="D179">
        <v>66</v>
      </c>
      <c r="E179" t="s">
        <v>112</v>
      </c>
      <c r="F179">
        <v>3</v>
      </c>
      <c r="G179">
        <v>3150</v>
      </c>
      <c r="H179" t="s">
        <v>7</v>
      </c>
      <c r="I179" s="1">
        <v>44283</v>
      </c>
      <c r="J179" t="s">
        <v>102</v>
      </c>
      <c r="K179">
        <f>F179*G179</f>
        <v>9450</v>
      </c>
      <c r="L179" t="str">
        <f>_xlfn.IFS(D179&lt;20,"Below 20",D179&lt;=30,"20-30",D179&lt;=40,"31-40",D179&lt;=50,"41-50",D179&lt;=60,"51-60",TRUE,"60+")</f>
        <v>60+</v>
      </c>
      <c r="M179" t="str">
        <f>_xlfn.IFS(K179&lt;500,"Low Spend",K179&lt;=2000,"Medium Spend",K179&lt;=5000,"High Spend",TRUE,"Premium Spend")</f>
        <v>Premium Spend</v>
      </c>
      <c r="N179" t="str">
        <f>_xlfn.IFS(F179=1,"1 Item",F179&lt;=3,"2-3 Items",F179&lt;=5,"4-5 Items",TRUE,"6+ Items")</f>
        <v>2-3 Items</v>
      </c>
      <c r="O179" t="str">
        <f>TEXT(I179,"mmm")</f>
        <v>Mar</v>
      </c>
      <c r="P179">
        <f>MONTH(I179)</f>
        <v>3</v>
      </c>
      <c r="Q179">
        <f>YEAR(I179)</f>
        <v>2021</v>
      </c>
      <c r="R179" t="str">
        <f>IF(K179&gt;=5000,"High Value","Regular")</f>
        <v>High Value</v>
      </c>
      <c r="S179" t="str">
        <f>IF(F179&gt;=4,"Bulk Order","Normal Order")</f>
        <v>Normal Order</v>
      </c>
    </row>
    <row r="180" spans="1:19" x14ac:dyDescent="0.3">
      <c r="A180" t="s">
        <v>664</v>
      </c>
      <c r="B180" t="s">
        <v>663</v>
      </c>
      <c r="C180" t="s">
        <v>3</v>
      </c>
      <c r="D180">
        <v>56</v>
      </c>
      <c r="E180" t="s">
        <v>19</v>
      </c>
      <c r="F180">
        <v>4</v>
      </c>
      <c r="G180">
        <v>162.63999999999999</v>
      </c>
      <c r="H180" t="s">
        <v>15</v>
      </c>
      <c r="I180" s="1">
        <v>44886</v>
      </c>
      <c r="J180" t="s">
        <v>22</v>
      </c>
      <c r="K180">
        <f>F180*G180</f>
        <v>650.55999999999995</v>
      </c>
      <c r="L180" t="str">
        <f>_xlfn.IFS(D180&lt;20,"Below 20",D180&lt;=30,"20-30",D180&lt;=40,"31-40",D180&lt;=50,"41-50",D180&lt;=60,"51-60",TRUE,"60+")</f>
        <v>51-60</v>
      </c>
      <c r="M180" t="str">
        <f>_xlfn.IFS(K180&lt;500,"Low Spend",K180&lt;=2000,"Medium Spend",K180&lt;=5000,"High Spend",TRUE,"Premium Spend")</f>
        <v>Medium Spend</v>
      </c>
      <c r="N180" t="str">
        <f>_xlfn.IFS(F180=1,"1 Item",F180&lt;=3,"2-3 Items",F180&lt;=5,"4-5 Items",TRUE,"6+ Items")</f>
        <v>4-5 Items</v>
      </c>
      <c r="O180" t="str">
        <f>TEXT(I180,"mmm")</f>
        <v>Nov</v>
      </c>
      <c r="P180">
        <f>MONTH(I180)</f>
        <v>11</v>
      </c>
      <c r="Q180">
        <f>YEAR(I180)</f>
        <v>2022</v>
      </c>
      <c r="R180" t="str">
        <f>IF(K180&gt;=5000,"High Value","Regular")</f>
        <v>Regular</v>
      </c>
      <c r="S180" t="str">
        <f>IF(F180&gt;=4,"Bulk Order","Normal Order")</f>
        <v>Bulk Order</v>
      </c>
    </row>
    <row r="181" spans="1:19" x14ac:dyDescent="0.3">
      <c r="A181" t="s">
        <v>662</v>
      </c>
      <c r="B181" t="s">
        <v>661</v>
      </c>
      <c r="C181" t="s">
        <v>3</v>
      </c>
      <c r="D181">
        <v>38</v>
      </c>
      <c r="E181" t="s">
        <v>23</v>
      </c>
      <c r="F181">
        <v>2</v>
      </c>
      <c r="G181">
        <v>23.46</v>
      </c>
      <c r="H181" t="s">
        <v>1</v>
      </c>
      <c r="I181" s="1">
        <v>44239</v>
      </c>
      <c r="J181" t="s">
        <v>68</v>
      </c>
      <c r="K181">
        <f>F181*G181</f>
        <v>46.92</v>
      </c>
      <c r="L181" t="str">
        <f>_xlfn.IFS(D181&lt;20,"Below 20",D181&lt;=30,"20-30",D181&lt;=40,"31-40",D181&lt;=50,"41-50",D181&lt;=60,"51-60",TRUE,"60+")</f>
        <v>31-40</v>
      </c>
      <c r="M181" t="str">
        <f>_xlfn.IFS(K181&lt;500,"Low Spend",K181&lt;=2000,"Medium Spend",K181&lt;=5000,"High Spend",TRUE,"Premium Spend")</f>
        <v>Low Spend</v>
      </c>
      <c r="N181" t="str">
        <f>_xlfn.IFS(F181=1,"1 Item",F181&lt;=3,"2-3 Items",F181&lt;=5,"4-5 Items",TRUE,"6+ Items")</f>
        <v>2-3 Items</v>
      </c>
      <c r="O181" t="str">
        <f>TEXT(I181,"mmm")</f>
        <v>Feb</v>
      </c>
      <c r="P181">
        <f>MONTH(I181)</f>
        <v>2</v>
      </c>
      <c r="Q181">
        <f>YEAR(I181)</f>
        <v>2021</v>
      </c>
      <c r="R181" t="str">
        <f>IF(K181&gt;=5000,"High Value","Regular")</f>
        <v>Regular</v>
      </c>
      <c r="S181" t="str">
        <f>IF(F181&gt;=4,"Bulk Order","Normal Order")</f>
        <v>Normal Order</v>
      </c>
    </row>
    <row r="182" spans="1:19" x14ac:dyDescent="0.3">
      <c r="A182" t="s">
        <v>660</v>
      </c>
      <c r="B182" t="s">
        <v>659</v>
      </c>
      <c r="C182" t="s">
        <v>12</v>
      </c>
      <c r="D182">
        <v>28</v>
      </c>
      <c r="E182" t="s">
        <v>8</v>
      </c>
      <c r="F182">
        <v>3</v>
      </c>
      <c r="G182">
        <v>900.24</v>
      </c>
      <c r="H182" t="s">
        <v>15</v>
      </c>
      <c r="I182" s="1">
        <v>44289</v>
      </c>
      <c r="J182" t="s">
        <v>102</v>
      </c>
      <c r="K182">
        <f>F182*G182</f>
        <v>2700.7200000000003</v>
      </c>
      <c r="L182" t="str">
        <f>_xlfn.IFS(D182&lt;20,"Below 20",D182&lt;=30,"20-30",D182&lt;=40,"31-40",D182&lt;=50,"41-50",D182&lt;=60,"51-60",TRUE,"60+")</f>
        <v>20-30</v>
      </c>
      <c r="M182" t="str">
        <f>_xlfn.IFS(K182&lt;500,"Low Spend",K182&lt;=2000,"Medium Spend",K182&lt;=5000,"High Spend",TRUE,"Premium Spend")</f>
        <v>High Spend</v>
      </c>
      <c r="N182" t="str">
        <f>_xlfn.IFS(F182=1,"1 Item",F182&lt;=3,"2-3 Items",F182&lt;=5,"4-5 Items",TRUE,"6+ Items")</f>
        <v>2-3 Items</v>
      </c>
      <c r="O182" t="str">
        <f>TEXT(I182,"mmm")</f>
        <v>Apr</v>
      </c>
      <c r="P182">
        <f>MONTH(I182)</f>
        <v>4</v>
      </c>
      <c r="Q182">
        <f>YEAR(I182)</f>
        <v>2021</v>
      </c>
      <c r="R182" t="str">
        <f>IF(K182&gt;=5000,"High Value","Regular")</f>
        <v>Regular</v>
      </c>
      <c r="S182" t="str">
        <f>IF(F182&gt;=4,"Bulk Order","Normal Order")</f>
        <v>Normal Order</v>
      </c>
    </row>
    <row r="183" spans="1:19" x14ac:dyDescent="0.3">
      <c r="A183" t="s">
        <v>658</v>
      </c>
      <c r="B183" t="s">
        <v>657</v>
      </c>
      <c r="C183" t="s">
        <v>3</v>
      </c>
      <c r="D183">
        <v>44</v>
      </c>
      <c r="E183" t="s">
        <v>16</v>
      </c>
      <c r="F183">
        <v>1</v>
      </c>
      <c r="G183">
        <v>5.23</v>
      </c>
      <c r="H183" t="s">
        <v>15</v>
      </c>
      <c r="I183" s="1">
        <v>44745</v>
      </c>
      <c r="J183" t="s">
        <v>68</v>
      </c>
      <c r="K183">
        <f>F183*G183</f>
        <v>5.23</v>
      </c>
      <c r="L183" t="str">
        <f>_xlfn.IFS(D183&lt;20,"Below 20",D183&lt;=30,"20-30",D183&lt;=40,"31-40",D183&lt;=50,"41-50",D183&lt;=60,"51-60",TRUE,"60+")</f>
        <v>41-50</v>
      </c>
      <c r="M183" t="str">
        <f>_xlfn.IFS(K183&lt;500,"Low Spend",K183&lt;=2000,"Medium Spend",K183&lt;=5000,"High Spend",TRUE,"Premium Spend")</f>
        <v>Low Spend</v>
      </c>
      <c r="N183" t="str">
        <f>_xlfn.IFS(F183=1,"1 Item",F183&lt;=3,"2-3 Items",F183&lt;=5,"4-5 Items",TRUE,"6+ Items")</f>
        <v>1 Item</v>
      </c>
      <c r="O183" t="str">
        <f>TEXT(I183,"mmm")</f>
        <v>Jul</v>
      </c>
      <c r="P183">
        <f>MONTH(I183)</f>
        <v>7</v>
      </c>
      <c r="Q183">
        <f>YEAR(I183)</f>
        <v>2022</v>
      </c>
      <c r="R183" t="str">
        <f>IF(K183&gt;=5000,"High Value","Regular")</f>
        <v>Regular</v>
      </c>
      <c r="S183" t="str">
        <f>IF(F183&gt;=4,"Bulk Order","Normal Order")</f>
        <v>Normal Order</v>
      </c>
    </row>
    <row r="184" spans="1:19" x14ac:dyDescent="0.3">
      <c r="A184" t="s">
        <v>656</v>
      </c>
      <c r="B184" t="s">
        <v>655</v>
      </c>
      <c r="C184" t="s">
        <v>3</v>
      </c>
      <c r="D184">
        <v>26</v>
      </c>
      <c r="E184" t="s">
        <v>16</v>
      </c>
      <c r="F184">
        <v>4</v>
      </c>
      <c r="G184">
        <v>20.92</v>
      </c>
      <c r="H184" t="s">
        <v>15</v>
      </c>
      <c r="I184" s="1">
        <v>44241</v>
      </c>
      <c r="J184" t="s">
        <v>22</v>
      </c>
      <c r="K184">
        <f>F184*G184</f>
        <v>83.68</v>
      </c>
      <c r="L184" t="str">
        <f>_xlfn.IFS(D184&lt;20,"Below 20",D184&lt;=30,"20-30",D184&lt;=40,"31-40",D184&lt;=50,"41-50",D184&lt;=60,"51-60",TRUE,"60+")</f>
        <v>20-30</v>
      </c>
      <c r="M184" t="str">
        <f>_xlfn.IFS(K184&lt;500,"Low Spend",K184&lt;=2000,"Medium Spend",K184&lt;=5000,"High Spend",TRUE,"Premium Spend")</f>
        <v>Low Spend</v>
      </c>
      <c r="N184" t="str">
        <f>_xlfn.IFS(F184=1,"1 Item",F184&lt;=3,"2-3 Items",F184&lt;=5,"4-5 Items",TRUE,"6+ Items")</f>
        <v>4-5 Items</v>
      </c>
      <c r="O184" t="str">
        <f>TEXT(I184,"mmm")</f>
        <v>Feb</v>
      </c>
      <c r="P184">
        <f>MONTH(I184)</f>
        <v>2</v>
      </c>
      <c r="Q184">
        <f>YEAR(I184)</f>
        <v>2021</v>
      </c>
      <c r="R184" t="str">
        <f>IF(K184&gt;=5000,"High Value","Regular")</f>
        <v>Regular</v>
      </c>
      <c r="S184" t="str">
        <f>IF(F184&gt;=4,"Bulk Order","Normal Order")</f>
        <v>Bulk Order</v>
      </c>
    </row>
    <row r="185" spans="1:19" x14ac:dyDescent="0.3">
      <c r="A185" t="s">
        <v>654</v>
      </c>
      <c r="B185" t="s">
        <v>653</v>
      </c>
      <c r="C185" t="s">
        <v>3</v>
      </c>
      <c r="D185">
        <v>41</v>
      </c>
      <c r="E185" t="s">
        <v>19</v>
      </c>
      <c r="F185">
        <v>4</v>
      </c>
      <c r="G185">
        <v>162.63999999999999</v>
      </c>
      <c r="H185" t="s">
        <v>1</v>
      </c>
      <c r="I185" s="1">
        <v>44757</v>
      </c>
      <c r="J185" t="s">
        <v>6</v>
      </c>
      <c r="K185">
        <f>F185*G185</f>
        <v>650.55999999999995</v>
      </c>
      <c r="L185" t="str">
        <f>_xlfn.IFS(D185&lt;20,"Below 20",D185&lt;=30,"20-30",D185&lt;=40,"31-40",D185&lt;=50,"41-50",D185&lt;=60,"51-60",TRUE,"60+")</f>
        <v>41-50</v>
      </c>
      <c r="M185" t="str">
        <f>_xlfn.IFS(K185&lt;500,"Low Spend",K185&lt;=2000,"Medium Spend",K185&lt;=5000,"High Spend",TRUE,"Premium Spend")</f>
        <v>Medium Spend</v>
      </c>
      <c r="N185" t="str">
        <f>_xlfn.IFS(F185=1,"1 Item",F185&lt;=3,"2-3 Items",F185&lt;=5,"4-5 Items",TRUE,"6+ Items")</f>
        <v>4-5 Items</v>
      </c>
      <c r="O185" t="str">
        <f>TEXT(I185,"mmm")</f>
        <v>Jul</v>
      </c>
      <c r="P185">
        <f>MONTH(I185)</f>
        <v>7</v>
      </c>
      <c r="Q185">
        <f>YEAR(I185)</f>
        <v>2022</v>
      </c>
      <c r="R185" t="str">
        <f>IF(K185&gt;=5000,"High Value","Regular")</f>
        <v>Regular</v>
      </c>
      <c r="S185" t="str">
        <f>IF(F185&gt;=4,"Bulk Order","Normal Order")</f>
        <v>Bulk Order</v>
      </c>
    </row>
    <row r="186" spans="1:19" x14ac:dyDescent="0.3">
      <c r="A186" t="s">
        <v>652</v>
      </c>
      <c r="B186" t="s">
        <v>651</v>
      </c>
      <c r="C186" t="s">
        <v>12</v>
      </c>
      <c r="D186">
        <v>50</v>
      </c>
      <c r="E186" t="s">
        <v>8</v>
      </c>
      <c r="F186">
        <v>4</v>
      </c>
      <c r="G186">
        <v>1200.32</v>
      </c>
      <c r="H186" t="s">
        <v>15</v>
      </c>
      <c r="I186" s="1">
        <v>44389</v>
      </c>
      <c r="J186" t="s">
        <v>6</v>
      </c>
      <c r="K186">
        <f>F186*G186</f>
        <v>4801.28</v>
      </c>
      <c r="L186" t="str">
        <f>_xlfn.IFS(D186&lt;20,"Below 20",D186&lt;=30,"20-30",D186&lt;=40,"31-40",D186&lt;=50,"41-50",D186&lt;=60,"51-60",TRUE,"60+")</f>
        <v>41-50</v>
      </c>
      <c r="M186" t="str">
        <f>_xlfn.IFS(K186&lt;500,"Low Spend",K186&lt;=2000,"Medium Spend",K186&lt;=5000,"High Spend",TRUE,"Premium Spend")</f>
        <v>High Spend</v>
      </c>
      <c r="N186" t="str">
        <f>_xlfn.IFS(F186=1,"1 Item",F186&lt;=3,"2-3 Items",F186&lt;=5,"4-5 Items",TRUE,"6+ Items")</f>
        <v>4-5 Items</v>
      </c>
      <c r="O186" t="str">
        <f>TEXT(I186,"mmm")</f>
        <v>Jul</v>
      </c>
      <c r="P186">
        <f>MONTH(I186)</f>
        <v>7</v>
      </c>
      <c r="Q186">
        <f>YEAR(I186)</f>
        <v>2021</v>
      </c>
      <c r="R186" t="str">
        <f>IF(K186&gt;=5000,"High Value","Regular")</f>
        <v>Regular</v>
      </c>
      <c r="S186" t="str">
        <f>IF(F186&gt;=4,"Bulk Order","Normal Order")</f>
        <v>Bulk Order</v>
      </c>
    </row>
    <row r="187" spans="1:19" x14ac:dyDescent="0.3">
      <c r="A187" t="s">
        <v>650</v>
      </c>
      <c r="B187" t="s">
        <v>649</v>
      </c>
      <c r="C187" t="s">
        <v>3</v>
      </c>
      <c r="D187">
        <v>23</v>
      </c>
      <c r="E187" t="s">
        <v>19</v>
      </c>
      <c r="F187">
        <v>3</v>
      </c>
      <c r="G187">
        <v>121.98</v>
      </c>
      <c r="H187" t="s">
        <v>15</v>
      </c>
      <c r="I187" s="1">
        <v>44700</v>
      </c>
      <c r="J187" t="s">
        <v>22</v>
      </c>
      <c r="K187">
        <f>F187*G187</f>
        <v>365.94</v>
      </c>
      <c r="L187" t="str">
        <f>_xlfn.IFS(D187&lt;20,"Below 20",D187&lt;=30,"20-30",D187&lt;=40,"31-40",D187&lt;=50,"41-50",D187&lt;=60,"51-60",TRUE,"60+")</f>
        <v>20-30</v>
      </c>
      <c r="M187" t="str">
        <f>_xlfn.IFS(K187&lt;500,"Low Spend",K187&lt;=2000,"Medium Spend",K187&lt;=5000,"High Spend",TRUE,"Premium Spend")</f>
        <v>Low Spend</v>
      </c>
      <c r="N187" t="str">
        <f>_xlfn.IFS(F187=1,"1 Item",F187&lt;=3,"2-3 Items",F187&lt;=5,"4-5 Items",TRUE,"6+ Items")</f>
        <v>2-3 Items</v>
      </c>
      <c r="O187" t="str">
        <f>TEXT(I187,"mmm")</f>
        <v>May</v>
      </c>
      <c r="P187">
        <f>MONTH(I187)</f>
        <v>5</v>
      </c>
      <c r="Q187">
        <f>YEAR(I187)</f>
        <v>2022</v>
      </c>
      <c r="R187" t="str">
        <f>IF(K187&gt;=5000,"High Value","Regular")</f>
        <v>Regular</v>
      </c>
      <c r="S187" t="str">
        <f>IF(F187&gt;=4,"Bulk Order","Normal Order")</f>
        <v>Normal Order</v>
      </c>
    </row>
    <row r="188" spans="1:19" x14ac:dyDescent="0.3">
      <c r="A188" t="s">
        <v>648</v>
      </c>
      <c r="B188" t="s">
        <v>647</v>
      </c>
      <c r="C188" t="s">
        <v>3</v>
      </c>
      <c r="D188">
        <v>31</v>
      </c>
      <c r="E188" t="s">
        <v>19</v>
      </c>
      <c r="F188">
        <v>4</v>
      </c>
      <c r="G188">
        <v>162.63999999999999</v>
      </c>
      <c r="H188" t="s">
        <v>15</v>
      </c>
      <c r="I188" s="1">
        <v>44970</v>
      </c>
      <c r="J188" t="s">
        <v>68</v>
      </c>
      <c r="K188">
        <f>F188*G188</f>
        <v>650.55999999999995</v>
      </c>
      <c r="L188" t="str">
        <f>_xlfn.IFS(D188&lt;20,"Below 20",D188&lt;=30,"20-30",D188&lt;=40,"31-40",D188&lt;=50,"41-50",D188&lt;=60,"51-60",TRUE,"60+")</f>
        <v>31-40</v>
      </c>
      <c r="M188" t="str">
        <f>_xlfn.IFS(K188&lt;500,"Low Spend",K188&lt;=2000,"Medium Spend",K188&lt;=5000,"High Spend",TRUE,"Premium Spend")</f>
        <v>Medium Spend</v>
      </c>
      <c r="N188" t="str">
        <f>_xlfn.IFS(F188=1,"1 Item",F188&lt;=3,"2-3 Items",F188&lt;=5,"4-5 Items",TRUE,"6+ Items")</f>
        <v>4-5 Items</v>
      </c>
      <c r="O188" t="str">
        <f>TEXT(I188,"mmm")</f>
        <v>Feb</v>
      </c>
      <c r="P188">
        <f>MONTH(I188)</f>
        <v>2</v>
      </c>
      <c r="Q188">
        <f>YEAR(I188)</f>
        <v>2023</v>
      </c>
      <c r="R188" t="str">
        <f>IF(K188&gt;=5000,"High Value","Regular")</f>
        <v>Regular</v>
      </c>
      <c r="S188" t="str">
        <f>IF(F188&gt;=4,"Bulk Order","Normal Order")</f>
        <v>Bulk Order</v>
      </c>
    </row>
    <row r="189" spans="1:19" x14ac:dyDescent="0.3">
      <c r="A189" t="s">
        <v>646</v>
      </c>
      <c r="B189" t="s">
        <v>645</v>
      </c>
      <c r="C189" t="s">
        <v>12</v>
      </c>
      <c r="D189">
        <v>26</v>
      </c>
      <c r="E189" t="s">
        <v>19</v>
      </c>
      <c r="F189">
        <v>5</v>
      </c>
      <c r="G189">
        <v>203.3</v>
      </c>
      <c r="H189" t="s">
        <v>1</v>
      </c>
      <c r="I189" s="1">
        <v>44892</v>
      </c>
      <c r="J189" t="s">
        <v>97</v>
      </c>
      <c r="K189">
        <f>F189*G189</f>
        <v>1016.5</v>
      </c>
      <c r="L189" t="str">
        <f>_xlfn.IFS(D189&lt;20,"Below 20",D189&lt;=30,"20-30",D189&lt;=40,"31-40",D189&lt;=50,"41-50",D189&lt;=60,"51-60",TRUE,"60+")</f>
        <v>20-30</v>
      </c>
      <c r="M189" t="str">
        <f>_xlfn.IFS(K189&lt;500,"Low Spend",K189&lt;=2000,"Medium Spend",K189&lt;=5000,"High Spend",TRUE,"Premium Spend")</f>
        <v>Medium Spend</v>
      </c>
      <c r="N189" t="str">
        <f>_xlfn.IFS(F189=1,"1 Item",F189&lt;=3,"2-3 Items",F189&lt;=5,"4-5 Items",TRUE,"6+ Items")</f>
        <v>4-5 Items</v>
      </c>
      <c r="O189" t="str">
        <f>TEXT(I189,"mmm")</f>
        <v>Nov</v>
      </c>
      <c r="P189">
        <f>MONTH(I189)</f>
        <v>11</v>
      </c>
      <c r="Q189">
        <f>YEAR(I189)</f>
        <v>2022</v>
      </c>
      <c r="R189" t="str">
        <f>IF(K189&gt;=5000,"High Value","Regular")</f>
        <v>Regular</v>
      </c>
      <c r="S189" t="str">
        <f>IF(F189&gt;=4,"Bulk Order","Normal Order")</f>
        <v>Bulk Order</v>
      </c>
    </row>
    <row r="190" spans="1:19" x14ac:dyDescent="0.3">
      <c r="A190" t="s">
        <v>644</v>
      </c>
      <c r="B190" t="s">
        <v>643</v>
      </c>
      <c r="C190" t="s">
        <v>3</v>
      </c>
      <c r="D190">
        <v>56</v>
      </c>
      <c r="E190" t="s">
        <v>16</v>
      </c>
      <c r="F190">
        <v>3</v>
      </c>
      <c r="G190">
        <v>15.69</v>
      </c>
      <c r="H190" t="s">
        <v>15</v>
      </c>
      <c r="I190" s="1">
        <v>44257</v>
      </c>
      <c r="J190" t="s">
        <v>6</v>
      </c>
      <c r="K190">
        <f>F190*G190</f>
        <v>47.07</v>
      </c>
      <c r="L190" t="str">
        <f>_xlfn.IFS(D190&lt;20,"Below 20",D190&lt;=30,"20-30",D190&lt;=40,"31-40",D190&lt;=50,"41-50",D190&lt;=60,"51-60",TRUE,"60+")</f>
        <v>51-60</v>
      </c>
      <c r="M190" t="str">
        <f>_xlfn.IFS(K190&lt;500,"Low Spend",K190&lt;=2000,"Medium Spend",K190&lt;=5000,"High Spend",TRUE,"Premium Spend")</f>
        <v>Low Spend</v>
      </c>
      <c r="N190" t="str">
        <f>_xlfn.IFS(F190=1,"1 Item",F190&lt;=3,"2-3 Items",F190&lt;=5,"4-5 Items",TRUE,"6+ Items")</f>
        <v>2-3 Items</v>
      </c>
      <c r="O190" t="str">
        <f>TEXT(I190,"mmm")</f>
        <v>Mar</v>
      </c>
      <c r="P190">
        <f>MONTH(I190)</f>
        <v>3</v>
      </c>
      <c r="Q190">
        <f>YEAR(I190)</f>
        <v>2021</v>
      </c>
      <c r="R190" t="str">
        <f>IF(K190&gt;=5000,"High Value","Regular")</f>
        <v>Regular</v>
      </c>
      <c r="S190" t="str">
        <f>IF(F190&gt;=4,"Bulk Order","Normal Order")</f>
        <v>Normal Order</v>
      </c>
    </row>
    <row r="191" spans="1:19" x14ac:dyDescent="0.3">
      <c r="A191" t="s">
        <v>642</v>
      </c>
      <c r="B191" t="s">
        <v>641</v>
      </c>
      <c r="C191" t="s">
        <v>3</v>
      </c>
      <c r="D191">
        <v>34</v>
      </c>
      <c r="E191" t="s">
        <v>2</v>
      </c>
      <c r="F191">
        <v>4</v>
      </c>
      <c r="G191">
        <v>143.36000000000001</v>
      </c>
      <c r="H191" t="s">
        <v>15</v>
      </c>
      <c r="I191" s="1">
        <v>44485</v>
      </c>
      <c r="J191" t="s">
        <v>28</v>
      </c>
      <c r="K191">
        <f>F191*G191</f>
        <v>573.44000000000005</v>
      </c>
      <c r="L191" t="str">
        <f>_xlfn.IFS(D191&lt;20,"Below 20",D191&lt;=30,"20-30",D191&lt;=40,"31-40",D191&lt;=50,"41-50",D191&lt;=60,"51-60",TRUE,"60+")</f>
        <v>31-40</v>
      </c>
      <c r="M191" t="str">
        <f>_xlfn.IFS(K191&lt;500,"Low Spend",K191&lt;=2000,"Medium Spend",K191&lt;=5000,"High Spend",TRUE,"Premium Spend")</f>
        <v>Medium Spend</v>
      </c>
      <c r="N191" t="str">
        <f>_xlfn.IFS(F191=1,"1 Item",F191&lt;=3,"2-3 Items",F191&lt;=5,"4-5 Items",TRUE,"6+ Items")</f>
        <v>4-5 Items</v>
      </c>
      <c r="O191" t="str">
        <f>TEXT(I191,"mmm")</f>
        <v>Oct</v>
      </c>
      <c r="P191">
        <f>MONTH(I191)</f>
        <v>10</v>
      </c>
      <c r="Q191">
        <f>YEAR(I191)</f>
        <v>2021</v>
      </c>
      <c r="R191" t="str">
        <f>IF(K191&gt;=5000,"High Value","Regular")</f>
        <v>Regular</v>
      </c>
      <c r="S191" t="str">
        <f>IF(F191&gt;=4,"Bulk Order","Normal Order")</f>
        <v>Bulk Order</v>
      </c>
    </row>
    <row r="192" spans="1:19" x14ac:dyDescent="0.3">
      <c r="A192" t="s">
        <v>640</v>
      </c>
      <c r="B192" t="s">
        <v>639</v>
      </c>
      <c r="C192" t="s">
        <v>3</v>
      </c>
      <c r="D192">
        <v>29</v>
      </c>
      <c r="E192" t="s">
        <v>8</v>
      </c>
      <c r="F192">
        <v>2</v>
      </c>
      <c r="G192">
        <v>600.16</v>
      </c>
      <c r="H192" t="s">
        <v>15</v>
      </c>
      <c r="I192" s="1">
        <v>44504</v>
      </c>
      <c r="J192" t="s">
        <v>28</v>
      </c>
      <c r="K192">
        <f>F192*G192</f>
        <v>1200.32</v>
      </c>
      <c r="L192" t="str">
        <f>_xlfn.IFS(D192&lt;20,"Below 20",D192&lt;=30,"20-30",D192&lt;=40,"31-40",D192&lt;=50,"41-50",D192&lt;=60,"51-60",TRUE,"60+")</f>
        <v>20-30</v>
      </c>
      <c r="M192" t="str">
        <f>_xlfn.IFS(K192&lt;500,"Low Spend",K192&lt;=2000,"Medium Spend",K192&lt;=5000,"High Spend",TRUE,"Premium Spend")</f>
        <v>Medium Spend</v>
      </c>
      <c r="N192" t="str">
        <f>_xlfn.IFS(F192=1,"1 Item",F192&lt;=3,"2-3 Items",F192&lt;=5,"4-5 Items",TRUE,"6+ Items")</f>
        <v>2-3 Items</v>
      </c>
      <c r="O192" t="str">
        <f>TEXT(I192,"mmm")</f>
        <v>Nov</v>
      </c>
      <c r="P192">
        <f>MONTH(I192)</f>
        <v>11</v>
      </c>
      <c r="Q192">
        <f>YEAR(I192)</f>
        <v>2021</v>
      </c>
      <c r="R192" t="str">
        <f>IF(K192&gt;=5000,"High Value","Regular")</f>
        <v>Regular</v>
      </c>
      <c r="S192" t="str">
        <f>IF(F192&gt;=4,"Bulk Order","Normal Order")</f>
        <v>Normal Order</v>
      </c>
    </row>
    <row r="193" spans="1:19" x14ac:dyDescent="0.3">
      <c r="A193" t="s">
        <v>638</v>
      </c>
      <c r="B193" t="s">
        <v>637</v>
      </c>
      <c r="C193" t="s">
        <v>3</v>
      </c>
      <c r="D193">
        <v>20</v>
      </c>
      <c r="E193" t="s">
        <v>8</v>
      </c>
      <c r="F193">
        <v>1</v>
      </c>
      <c r="G193">
        <v>300.08</v>
      </c>
      <c r="H193" t="s">
        <v>1</v>
      </c>
      <c r="I193" s="1">
        <v>44937</v>
      </c>
      <c r="J193" t="s">
        <v>22</v>
      </c>
      <c r="K193">
        <f>F193*G193</f>
        <v>300.08</v>
      </c>
      <c r="L193" t="str">
        <f>_xlfn.IFS(D193&lt;20,"Below 20",D193&lt;=30,"20-30",D193&lt;=40,"31-40",D193&lt;=50,"41-50",D193&lt;=60,"51-60",TRUE,"60+")</f>
        <v>20-30</v>
      </c>
      <c r="M193" t="str">
        <f>_xlfn.IFS(K193&lt;500,"Low Spend",K193&lt;=2000,"Medium Spend",K193&lt;=5000,"High Spend",TRUE,"Premium Spend")</f>
        <v>Low Spend</v>
      </c>
      <c r="N193" t="str">
        <f>_xlfn.IFS(F193=1,"1 Item",F193&lt;=3,"2-3 Items",F193&lt;=5,"4-5 Items",TRUE,"6+ Items")</f>
        <v>1 Item</v>
      </c>
      <c r="O193" t="str">
        <f>TEXT(I193,"mmm")</f>
        <v>Jan</v>
      </c>
      <c r="P193">
        <f>MONTH(I193)</f>
        <v>1</v>
      </c>
      <c r="Q193">
        <f>YEAR(I193)</f>
        <v>2023</v>
      </c>
      <c r="R193" t="str">
        <f>IF(K193&gt;=5000,"High Value","Regular")</f>
        <v>Regular</v>
      </c>
      <c r="S193" t="str">
        <f>IF(F193&gt;=4,"Bulk Order","Normal Order")</f>
        <v>Normal Order</v>
      </c>
    </row>
    <row r="194" spans="1:19" x14ac:dyDescent="0.3">
      <c r="A194" t="s">
        <v>636</v>
      </c>
      <c r="B194" t="s">
        <v>635</v>
      </c>
      <c r="C194" t="s">
        <v>3</v>
      </c>
      <c r="D194">
        <v>54</v>
      </c>
      <c r="E194" t="s">
        <v>19</v>
      </c>
      <c r="F194">
        <v>3</v>
      </c>
      <c r="G194">
        <v>121.98</v>
      </c>
      <c r="H194" t="s">
        <v>1</v>
      </c>
      <c r="I194" s="1">
        <v>44720</v>
      </c>
      <c r="J194" t="s">
        <v>97</v>
      </c>
      <c r="K194">
        <f>F194*G194</f>
        <v>365.94</v>
      </c>
      <c r="L194" t="str">
        <f>_xlfn.IFS(D194&lt;20,"Below 20",D194&lt;=30,"20-30",D194&lt;=40,"31-40",D194&lt;=50,"41-50",D194&lt;=60,"51-60",TRUE,"60+")</f>
        <v>51-60</v>
      </c>
      <c r="M194" t="str">
        <f>_xlfn.IFS(K194&lt;500,"Low Spend",K194&lt;=2000,"Medium Spend",K194&lt;=5000,"High Spend",TRUE,"Premium Spend")</f>
        <v>Low Spend</v>
      </c>
      <c r="N194" t="str">
        <f>_xlfn.IFS(F194=1,"1 Item",F194&lt;=3,"2-3 Items",F194&lt;=5,"4-5 Items",TRUE,"6+ Items")</f>
        <v>2-3 Items</v>
      </c>
      <c r="O194" t="str">
        <f>TEXT(I194,"mmm")</f>
        <v>Jun</v>
      </c>
      <c r="P194">
        <f>MONTH(I194)</f>
        <v>6</v>
      </c>
      <c r="Q194">
        <f>YEAR(I194)</f>
        <v>2022</v>
      </c>
      <c r="R194" t="str">
        <f>IF(K194&gt;=5000,"High Value","Regular")</f>
        <v>Regular</v>
      </c>
      <c r="S194" t="str">
        <f>IF(F194&gt;=4,"Bulk Order","Normal Order")</f>
        <v>Normal Order</v>
      </c>
    </row>
    <row r="195" spans="1:19" x14ac:dyDescent="0.3">
      <c r="A195" t="s">
        <v>634</v>
      </c>
      <c r="B195" t="s">
        <v>633</v>
      </c>
      <c r="C195" t="s">
        <v>12</v>
      </c>
      <c r="D195">
        <v>40</v>
      </c>
      <c r="E195" t="s">
        <v>8</v>
      </c>
      <c r="F195">
        <v>4</v>
      </c>
      <c r="G195">
        <v>1200.32</v>
      </c>
      <c r="H195" t="s">
        <v>7</v>
      </c>
      <c r="I195" s="1">
        <v>44340</v>
      </c>
      <c r="J195" t="s">
        <v>11</v>
      </c>
      <c r="K195">
        <f>F195*G195</f>
        <v>4801.28</v>
      </c>
      <c r="L195" t="str">
        <f>_xlfn.IFS(D195&lt;20,"Below 20",D195&lt;=30,"20-30",D195&lt;=40,"31-40",D195&lt;=50,"41-50",D195&lt;=60,"51-60",TRUE,"60+")</f>
        <v>31-40</v>
      </c>
      <c r="M195" t="str">
        <f>_xlfn.IFS(K195&lt;500,"Low Spend",K195&lt;=2000,"Medium Spend",K195&lt;=5000,"High Spend",TRUE,"Premium Spend")</f>
        <v>High Spend</v>
      </c>
      <c r="N195" t="str">
        <f>_xlfn.IFS(F195=1,"1 Item",F195&lt;=3,"2-3 Items",F195&lt;=5,"4-5 Items",TRUE,"6+ Items")</f>
        <v>4-5 Items</v>
      </c>
      <c r="O195" t="str">
        <f>TEXT(I195,"mmm")</f>
        <v>May</v>
      </c>
      <c r="P195">
        <f>MONTH(I195)</f>
        <v>5</v>
      </c>
      <c r="Q195">
        <f>YEAR(I195)</f>
        <v>2021</v>
      </c>
      <c r="R195" t="str">
        <f>IF(K195&gt;=5000,"High Value","Regular")</f>
        <v>Regular</v>
      </c>
      <c r="S195" t="str">
        <f>IF(F195&gt;=4,"Bulk Order","Normal Order")</f>
        <v>Bulk Order</v>
      </c>
    </row>
    <row r="196" spans="1:19" x14ac:dyDescent="0.3">
      <c r="A196" t="s">
        <v>632</v>
      </c>
      <c r="B196" t="s">
        <v>631</v>
      </c>
      <c r="C196" t="s">
        <v>12</v>
      </c>
      <c r="D196">
        <v>40</v>
      </c>
      <c r="E196" t="s">
        <v>19</v>
      </c>
      <c r="F196">
        <v>5</v>
      </c>
      <c r="G196">
        <v>203.3</v>
      </c>
      <c r="H196" t="s">
        <v>15</v>
      </c>
      <c r="I196" s="1">
        <v>44214</v>
      </c>
      <c r="J196" t="s">
        <v>0</v>
      </c>
      <c r="K196">
        <f>F196*G196</f>
        <v>1016.5</v>
      </c>
      <c r="L196" t="str">
        <f>_xlfn.IFS(D196&lt;20,"Below 20",D196&lt;=30,"20-30",D196&lt;=40,"31-40",D196&lt;=50,"41-50",D196&lt;=60,"51-60",TRUE,"60+")</f>
        <v>31-40</v>
      </c>
      <c r="M196" t="str">
        <f>_xlfn.IFS(K196&lt;500,"Low Spend",K196&lt;=2000,"Medium Spend",K196&lt;=5000,"High Spend",TRUE,"Premium Spend")</f>
        <v>Medium Spend</v>
      </c>
      <c r="N196" t="str">
        <f>_xlfn.IFS(F196=1,"1 Item",F196&lt;=3,"2-3 Items",F196&lt;=5,"4-5 Items",TRUE,"6+ Items")</f>
        <v>4-5 Items</v>
      </c>
      <c r="O196" t="str">
        <f>TEXT(I196,"mmm")</f>
        <v>Jan</v>
      </c>
      <c r="P196">
        <f>MONTH(I196)</f>
        <v>1</v>
      </c>
      <c r="Q196">
        <f>YEAR(I196)</f>
        <v>2021</v>
      </c>
      <c r="R196" t="str">
        <f>IF(K196&gt;=5000,"High Value","Regular")</f>
        <v>Regular</v>
      </c>
      <c r="S196" t="str">
        <f>IF(F196&gt;=4,"Bulk Order","Normal Order")</f>
        <v>Bulk Order</v>
      </c>
    </row>
    <row r="197" spans="1:19" x14ac:dyDescent="0.3">
      <c r="A197" t="s">
        <v>630</v>
      </c>
      <c r="B197" t="s">
        <v>629</v>
      </c>
      <c r="C197" t="s">
        <v>12</v>
      </c>
      <c r="D197">
        <v>21</v>
      </c>
      <c r="E197" t="s">
        <v>61</v>
      </c>
      <c r="F197">
        <v>4</v>
      </c>
      <c r="G197">
        <v>60.6</v>
      </c>
      <c r="H197" t="s">
        <v>15</v>
      </c>
      <c r="I197" s="1">
        <v>44399</v>
      </c>
      <c r="J197" t="s">
        <v>22</v>
      </c>
      <c r="K197">
        <f>F197*G197</f>
        <v>242.4</v>
      </c>
      <c r="L197" t="str">
        <f>_xlfn.IFS(D197&lt;20,"Below 20",D197&lt;=30,"20-30",D197&lt;=40,"31-40",D197&lt;=50,"41-50",D197&lt;=60,"51-60",TRUE,"60+")</f>
        <v>20-30</v>
      </c>
      <c r="M197" t="str">
        <f>_xlfn.IFS(K197&lt;500,"Low Spend",K197&lt;=2000,"Medium Spend",K197&lt;=5000,"High Spend",TRUE,"Premium Spend")</f>
        <v>Low Spend</v>
      </c>
      <c r="N197" t="str">
        <f>_xlfn.IFS(F197=1,"1 Item",F197&lt;=3,"2-3 Items",F197&lt;=5,"4-5 Items",TRUE,"6+ Items")</f>
        <v>4-5 Items</v>
      </c>
      <c r="O197" t="str">
        <f>TEXT(I197,"mmm")</f>
        <v>Jul</v>
      </c>
      <c r="P197">
        <f>MONTH(I197)</f>
        <v>7</v>
      </c>
      <c r="Q197">
        <f>YEAR(I197)</f>
        <v>2021</v>
      </c>
      <c r="R197" t="str">
        <f>IF(K197&gt;=5000,"High Value","Regular")</f>
        <v>Regular</v>
      </c>
      <c r="S197" t="str">
        <f>IF(F197&gt;=4,"Bulk Order","Normal Order")</f>
        <v>Bulk Order</v>
      </c>
    </row>
    <row r="198" spans="1:19" x14ac:dyDescent="0.3">
      <c r="A198" t="s">
        <v>628</v>
      </c>
      <c r="B198" t="s">
        <v>627</v>
      </c>
      <c r="C198" t="s">
        <v>3</v>
      </c>
      <c r="D198">
        <v>32</v>
      </c>
      <c r="E198" t="s">
        <v>112</v>
      </c>
      <c r="F198">
        <v>2</v>
      </c>
      <c r="G198">
        <v>2100</v>
      </c>
      <c r="H198" t="s">
        <v>15</v>
      </c>
      <c r="I198" s="1">
        <v>44829</v>
      </c>
      <c r="J198" t="s">
        <v>107</v>
      </c>
      <c r="K198">
        <f>F198*G198</f>
        <v>4200</v>
      </c>
      <c r="L198" t="str">
        <f>_xlfn.IFS(D198&lt;20,"Below 20",D198&lt;=30,"20-30",D198&lt;=40,"31-40",D198&lt;=50,"41-50",D198&lt;=60,"51-60",TRUE,"60+")</f>
        <v>31-40</v>
      </c>
      <c r="M198" t="str">
        <f>_xlfn.IFS(K198&lt;500,"Low Spend",K198&lt;=2000,"Medium Spend",K198&lt;=5000,"High Spend",TRUE,"Premium Spend")</f>
        <v>High Spend</v>
      </c>
      <c r="N198" t="str">
        <f>_xlfn.IFS(F198=1,"1 Item",F198&lt;=3,"2-3 Items",F198&lt;=5,"4-5 Items",TRUE,"6+ Items")</f>
        <v>2-3 Items</v>
      </c>
      <c r="O198" t="str">
        <f>TEXT(I198,"mmm")</f>
        <v>Sep</v>
      </c>
      <c r="P198">
        <f>MONTH(I198)</f>
        <v>9</v>
      </c>
      <c r="Q198">
        <f>YEAR(I198)</f>
        <v>2022</v>
      </c>
      <c r="R198" t="str">
        <f>IF(K198&gt;=5000,"High Value","Regular")</f>
        <v>Regular</v>
      </c>
      <c r="S198" t="str">
        <f>IF(F198&gt;=4,"Bulk Order","Normal Order")</f>
        <v>Normal Order</v>
      </c>
    </row>
    <row r="199" spans="1:19" x14ac:dyDescent="0.3">
      <c r="A199" t="s">
        <v>626</v>
      </c>
      <c r="B199" t="s">
        <v>625</v>
      </c>
      <c r="C199" t="s">
        <v>12</v>
      </c>
      <c r="D199">
        <v>47</v>
      </c>
      <c r="E199" t="s">
        <v>8</v>
      </c>
      <c r="F199">
        <v>3</v>
      </c>
      <c r="G199">
        <v>900.24</v>
      </c>
      <c r="H199" t="s">
        <v>1</v>
      </c>
      <c r="I199" s="1">
        <v>44449</v>
      </c>
      <c r="J199" t="s">
        <v>11</v>
      </c>
      <c r="K199">
        <f>F199*G199</f>
        <v>2700.7200000000003</v>
      </c>
      <c r="L199" t="str">
        <f>_xlfn.IFS(D199&lt;20,"Below 20",D199&lt;=30,"20-30",D199&lt;=40,"31-40",D199&lt;=50,"41-50",D199&lt;=60,"51-60",TRUE,"60+")</f>
        <v>41-50</v>
      </c>
      <c r="M199" t="str">
        <f>_xlfn.IFS(K199&lt;500,"Low Spend",K199&lt;=2000,"Medium Spend",K199&lt;=5000,"High Spend",TRUE,"Premium Spend")</f>
        <v>High Spend</v>
      </c>
      <c r="N199" t="str">
        <f>_xlfn.IFS(F199=1,"1 Item",F199&lt;=3,"2-3 Items",F199&lt;=5,"4-5 Items",TRUE,"6+ Items")</f>
        <v>2-3 Items</v>
      </c>
      <c r="O199" t="str">
        <f>TEXT(I199,"mmm")</f>
        <v>Sep</v>
      </c>
      <c r="P199">
        <f>MONTH(I199)</f>
        <v>9</v>
      </c>
      <c r="Q199">
        <f>YEAR(I199)</f>
        <v>2021</v>
      </c>
      <c r="R199" t="str">
        <f>IF(K199&gt;=5000,"High Value","Regular")</f>
        <v>Regular</v>
      </c>
      <c r="S199" t="str">
        <f>IF(F199&gt;=4,"Bulk Order","Normal Order")</f>
        <v>Normal Order</v>
      </c>
    </row>
    <row r="200" spans="1:19" x14ac:dyDescent="0.3">
      <c r="A200" t="s">
        <v>624</v>
      </c>
      <c r="B200" t="s">
        <v>623</v>
      </c>
      <c r="C200" t="s">
        <v>3</v>
      </c>
      <c r="D200">
        <v>41</v>
      </c>
      <c r="E200" t="s">
        <v>23</v>
      </c>
      <c r="F200">
        <v>3</v>
      </c>
      <c r="G200">
        <v>35.19</v>
      </c>
      <c r="H200" t="s">
        <v>15</v>
      </c>
      <c r="I200" s="1">
        <v>44577</v>
      </c>
      <c r="J200" t="s">
        <v>102</v>
      </c>
      <c r="K200">
        <f>F200*G200</f>
        <v>105.57</v>
      </c>
      <c r="L200" t="str">
        <f>_xlfn.IFS(D200&lt;20,"Below 20",D200&lt;=30,"20-30",D200&lt;=40,"31-40",D200&lt;=50,"41-50",D200&lt;=60,"51-60",TRUE,"60+")</f>
        <v>41-50</v>
      </c>
      <c r="M200" t="str">
        <f>_xlfn.IFS(K200&lt;500,"Low Spend",K200&lt;=2000,"Medium Spend",K200&lt;=5000,"High Spend",TRUE,"Premium Spend")</f>
        <v>Low Spend</v>
      </c>
      <c r="N200" t="str">
        <f>_xlfn.IFS(F200=1,"1 Item",F200&lt;=3,"2-3 Items",F200&lt;=5,"4-5 Items",TRUE,"6+ Items")</f>
        <v>2-3 Items</v>
      </c>
      <c r="O200" t="str">
        <f>TEXT(I200,"mmm")</f>
        <v>Jan</v>
      </c>
      <c r="P200">
        <f>MONTH(I200)</f>
        <v>1</v>
      </c>
      <c r="Q200">
        <f>YEAR(I200)</f>
        <v>2022</v>
      </c>
      <c r="R200" t="str">
        <f>IF(K200&gt;=5000,"High Value","Regular")</f>
        <v>Regular</v>
      </c>
      <c r="S200" t="str">
        <f>IF(F200&gt;=4,"Bulk Order","Normal Order")</f>
        <v>Normal Order</v>
      </c>
    </row>
    <row r="201" spans="1:19" x14ac:dyDescent="0.3">
      <c r="A201" t="s">
        <v>622</v>
      </c>
      <c r="B201" t="s">
        <v>621</v>
      </c>
      <c r="C201" t="s">
        <v>12</v>
      </c>
      <c r="D201">
        <v>33</v>
      </c>
      <c r="E201" t="s">
        <v>19</v>
      </c>
      <c r="F201">
        <v>5</v>
      </c>
      <c r="G201">
        <v>203.3</v>
      </c>
      <c r="H201" t="s">
        <v>15</v>
      </c>
      <c r="I201" s="1">
        <v>44878</v>
      </c>
      <c r="J201" t="s">
        <v>28</v>
      </c>
      <c r="K201">
        <f>F201*G201</f>
        <v>1016.5</v>
      </c>
      <c r="L201" t="str">
        <f>_xlfn.IFS(D201&lt;20,"Below 20",D201&lt;=30,"20-30",D201&lt;=40,"31-40",D201&lt;=50,"41-50",D201&lt;=60,"51-60",TRUE,"60+")</f>
        <v>31-40</v>
      </c>
      <c r="M201" t="str">
        <f>_xlfn.IFS(K201&lt;500,"Low Spend",K201&lt;=2000,"Medium Spend",K201&lt;=5000,"High Spend",TRUE,"Premium Spend")</f>
        <v>Medium Spend</v>
      </c>
      <c r="N201" t="str">
        <f>_xlfn.IFS(F201=1,"1 Item",F201&lt;=3,"2-3 Items",F201&lt;=5,"4-5 Items",TRUE,"6+ Items")</f>
        <v>4-5 Items</v>
      </c>
      <c r="O201" t="str">
        <f>TEXT(I201,"mmm")</f>
        <v>Nov</v>
      </c>
      <c r="P201">
        <f>MONTH(I201)</f>
        <v>11</v>
      </c>
      <c r="Q201">
        <f>YEAR(I201)</f>
        <v>2022</v>
      </c>
      <c r="R201" t="str">
        <f>IF(K201&gt;=5000,"High Value","Regular")</f>
        <v>Regular</v>
      </c>
      <c r="S201" t="str">
        <f>IF(F201&gt;=4,"Bulk Order","Normal Order")</f>
        <v>Bulk Order</v>
      </c>
    </row>
    <row r="202" spans="1:19" x14ac:dyDescent="0.3">
      <c r="A202" t="s">
        <v>620</v>
      </c>
      <c r="B202" t="s">
        <v>619</v>
      </c>
      <c r="C202" t="s">
        <v>3</v>
      </c>
      <c r="D202">
        <v>67</v>
      </c>
      <c r="E202" t="s">
        <v>23</v>
      </c>
      <c r="F202">
        <v>2</v>
      </c>
      <c r="G202">
        <v>23.46</v>
      </c>
      <c r="H202" t="s">
        <v>1</v>
      </c>
      <c r="I202" s="1">
        <v>44269</v>
      </c>
      <c r="J202" t="s">
        <v>22</v>
      </c>
      <c r="K202">
        <f>F202*G202</f>
        <v>46.92</v>
      </c>
      <c r="L202" t="str">
        <f>_xlfn.IFS(D202&lt;20,"Below 20",D202&lt;=30,"20-30",D202&lt;=40,"31-40",D202&lt;=50,"41-50",D202&lt;=60,"51-60",TRUE,"60+")</f>
        <v>60+</v>
      </c>
      <c r="M202" t="str">
        <f>_xlfn.IFS(K202&lt;500,"Low Spend",K202&lt;=2000,"Medium Spend",K202&lt;=5000,"High Spend",TRUE,"Premium Spend")</f>
        <v>Low Spend</v>
      </c>
      <c r="N202" t="str">
        <f>_xlfn.IFS(F202=1,"1 Item",F202&lt;=3,"2-3 Items",F202&lt;=5,"4-5 Items",TRUE,"6+ Items")</f>
        <v>2-3 Items</v>
      </c>
      <c r="O202" t="str">
        <f>TEXT(I202,"mmm")</f>
        <v>Mar</v>
      </c>
      <c r="P202">
        <f>MONTH(I202)</f>
        <v>3</v>
      </c>
      <c r="Q202">
        <f>YEAR(I202)</f>
        <v>2021</v>
      </c>
      <c r="R202" t="str">
        <f>IF(K202&gt;=5000,"High Value","Regular")</f>
        <v>Regular</v>
      </c>
      <c r="S202" t="str">
        <f>IF(F202&gt;=4,"Bulk Order","Normal Order")</f>
        <v>Normal Order</v>
      </c>
    </row>
    <row r="203" spans="1:19" x14ac:dyDescent="0.3">
      <c r="A203" t="s">
        <v>618</v>
      </c>
      <c r="B203" t="s">
        <v>617</v>
      </c>
      <c r="C203" t="s">
        <v>12</v>
      </c>
      <c r="D203">
        <v>37</v>
      </c>
      <c r="E203" t="s">
        <v>19</v>
      </c>
      <c r="F203">
        <v>3</v>
      </c>
      <c r="G203">
        <v>121.98</v>
      </c>
      <c r="H203" t="s">
        <v>15</v>
      </c>
      <c r="I203" s="1">
        <v>44765</v>
      </c>
      <c r="J203" t="s">
        <v>0</v>
      </c>
      <c r="K203">
        <f>F203*G203</f>
        <v>365.94</v>
      </c>
      <c r="L203" t="str">
        <f>_xlfn.IFS(D203&lt;20,"Below 20",D203&lt;=30,"20-30",D203&lt;=40,"31-40",D203&lt;=50,"41-50",D203&lt;=60,"51-60",TRUE,"60+")</f>
        <v>31-40</v>
      </c>
      <c r="M203" t="str">
        <f>_xlfn.IFS(K203&lt;500,"Low Spend",K203&lt;=2000,"Medium Spend",K203&lt;=5000,"High Spend",TRUE,"Premium Spend")</f>
        <v>Low Spend</v>
      </c>
      <c r="N203" t="str">
        <f>_xlfn.IFS(F203=1,"1 Item",F203&lt;=3,"2-3 Items",F203&lt;=5,"4-5 Items",TRUE,"6+ Items")</f>
        <v>2-3 Items</v>
      </c>
      <c r="O203" t="str">
        <f>TEXT(I203,"mmm")</f>
        <v>Jul</v>
      </c>
      <c r="P203">
        <f>MONTH(I203)</f>
        <v>7</v>
      </c>
      <c r="Q203">
        <f>YEAR(I203)</f>
        <v>2022</v>
      </c>
      <c r="R203" t="str">
        <f>IF(K203&gt;=5000,"High Value","Regular")</f>
        <v>Regular</v>
      </c>
      <c r="S203" t="str">
        <f>IF(F203&gt;=4,"Bulk Order","Normal Order")</f>
        <v>Normal Order</v>
      </c>
    </row>
    <row r="204" spans="1:19" x14ac:dyDescent="0.3">
      <c r="A204" t="s">
        <v>616</v>
      </c>
      <c r="B204" t="s">
        <v>615</v>
      </c>
      <c r="C204" t="s">
        <v>3</v>
      </c>
      <c r="D204">
        <v>38</v>
      </c>
      <c r="E204" t="s">
        <v>2</v>
      </c>
      <c r="F204">
        <v>1</v>
      </c>
      <c r="G204">
        <v>35.840000000000003</v>
      </c>
      <c r="H204" t="s">
        <v>15</v>
      </c>
      <c r="I204" s="1">
        <v>44371</v>
      </c>
      <c r="J204" t="s">
        <v>68</v>
      </c>
      <c r="K204">
        <f>F204*G204</f>
        <v>35.840000000000003</v>
      </c>
      <c r="L204" t="str">
        <f>_xlfn.IFS(D204&lt;20,"Below 20",D204&lt;=30,"20-30",D204&lt;=40,"31-40",D204&lt;=50,"41-50",D204&lt;=60,"51-60",TRUE,"60+")</f>
        <v>31-40</v>
      </c>
      <c r="M204" t="str">
        <f>_xlfn.IFS(K204&lt;500,"Low Spend",K204&lt;=2000,"Medium Spend",K204&lt;=5000,"High Spend",TRUE,"Premium Spend")</f>
        <v>Low Spend</v>
      </c>
      <c r="N204" t="str">
        <f>_xlfn.IFS(F204=1,"1 Item",F204&lt;=3,"2-3 Items",F204&lt;=5,"4-5 Items",TRUE,"6+ Items")</f>
        <v>1 Item</v>
      </c>
      <c r="O204" t="str">
        <f>TEXT(I204,"mmm")</f>
        <v>Jun</v>
      </c>
      <c r="P204">
        <f>MONTH(I204)</f>
        <v>6</v>
      </c>
      <c r="Q204">
        <f>YEAR(I204)</f>
        <v>2021</v>
      </c>
      <c r="R204" t="str">
        <f>IF(K204&gt;=5000,"High Value","Regular")</f>
        <v>Regular</v>
      </c>
      <c r="S204" t="str">
        <f>IF(F204&gt;=4,"Bulk Order","Normal Order")</f>
        <v>Normal Order</v>
      </c>
    </row>
    <row r="205" spans="1:19" x14ac:dyDescent="0.3">
      <c r="A205" t="s">
        <v>614</v>
      </c>
      <c r="B205" t="s">
        <v>613</v>
      </c>
      <c r="C205" t="s">
        <v>12</v>
      </c>
      <c r="D205">
        <v>28</v>
      </c>
      <c r="E205" t="s">
        <v>31</v>
      </c>
      <c r="F205">
        <v>5</v>
      </c>
      <c r="G205">
        <v>3000.85</v>
      </c>
      <c r="H205" t="s">
        <v>1</v>
      </c>
      <c r="I205" s="1">
        <v>44226</v>
      </c>
      <c r="J205" t="s">
        <v>28</v>
      </c>
      <c r="K205">
        <f>F205*G205</f>
        <v>15004.25</v>
      </c>
      <c r="L205" t="str">
        <f>_xlfn.IFS(D205&lt;20,"Below 20",D205&lt;=30,"20-30",D205&lt;=40,"31-40",D205&lt;=50,"41-50",D205&lt;=60,"51-60",TRUE,"60+")</f>
        <v>20-30</v>
      </c>
      <c r="M205" t="str">
        <f>_xlfn.IFS(K205&lt;500,"Low Spend",K205&lt;=2000,"Medium Spend",K205&lt;=5000,"High Spend",TRUE,"Premium Spend")</f>
        <v>Premium Spend</v>
      </c>
      <c r="N205" t="str">
        <f>_xlfn.IFS(F205=1,"1 Item",F205&lt;=3,"2-3 Items",F205&lt;=5,"4-5 Items",TRUE,"6+ Items")</f>
        <v>4-5 Items</v>
      </c>
      <c r="O205" t="str">
        <f>TEXT(I205,"mmm")</f>
        <v>Jan</v>
      </c>
      <c r="P205">
        <f>MONTH(I205)</f>
        <v>1</v>
      </c>
      <c r="Q205">
        <f>YEAR(I205)</f>
        <v>2021</v>
      </c>
      <c r="R205" t="str">
        <f>IF(K205&gt;=5000,"High Value","Regular")</f>
        <v>High Value</v>
      </c>
      <c r="S205" t="str">
        <f>IF(F205&gt;=4,"Bulk Order","Normal Order")</f>
        <v>Bulk Order</v>
      </c>
    </row>
    <row r="206" spans="1:19" x14ac:dyDescent="0.3">
      <c r="A206" t="s">
        <v>612</v>
      </c>
      <c r="B206" t="s">
        <v>611</v>
      </c>
      <c r="C206" t="s">
        <v>3</v>
      </c>
      <c r="D206">
        <v>38</v>
      </c>
      <c r="E206" t="s">
        <v>61</v>
      </c>
      <c r="F206">
        <v>1</v>
      </c>
      <c r="G206">
        <v>15.15</v>
      </c>
      <c r="H206" t="s">
        <v>1</v>
      </c>
      <c r="I206" s="1">
        <v>44668</v>
      </c>
      <c r="J206" t="s">
        <v>28</v>
      </c>
      <c r="K206">
        <f>F206*G206</f>
        <v>15.15</v>
      </c>
      <c r="L206" t="str">
        <f>_xlfn.IFS(D206&lt;20,"Below 20",D206&lt;=30,"20-30",D206&lt;=40,"31-40",D206&lt;=50,"41-50",D206&lt;=60,"51-60",TRUE,"60+")</f>
        <v>31-40</v>
      </c>
      <c r="M206" t="str">
        <f>_xlfn.IFS(K206&lt;500,"Low Spend",K206&lt;=2000,"Medium Spend",K206&lt;=5000,"High Spend",TRUE,"Premium Spend")</f>
        <v>Low Spend</v>
      </c>
      <c r="N206" t="str">
        <f>_xlfn.IFS(F206=1,"1 Item",F206&lt;=3,"2-3 Items",F206&lt;=5,"4-5 Items",TRUE,"6+ Items")</f>
        <v>1 Item</v>
      </c>
      <c r="O206" t="str">
        <f>TEXT(I206,"mmm")</f>
        <v>Apr</v>
      </c>
      <c r="P206">
        <f>MONTH(I206)</f>
        <v>4</v>
      </c>
      <c r="Q206">
        <f>YEAR(I206)</f>
        <v>2022</v>
      </c>
      <c r="R206" t="str">
        <f>IF(K206&gt;=5000,"High Value","Regular")</f>
        <v>Regular</v>
      </c>
      <c r="S206" t="str">
        <f>IF(F206&gt;=4,"Bulk Order","Normal Order")</f>
        <v>Normal Order</v>
      </c>
    </row>
    <row r="207" spans="1:19" x14ac:dyDescent="0.3">
      <c r="A207" t="s">
        <v>610</v>
      </c>
      <c r="B207" t="s">
        <v>609</v>
      </c>
      <c r="C207" t="s">
        <v>3</v>
      </c>
      <c r="D207">
        <v>56</v>
      </c>
      <c r="E207" t="s">
        <v>19</v>
      </c>
      <c r="F207">
        <v>1</v>
      </c>
      <c r="G207">
        <v>40.659999999999997</v>
      </c>
      <c r="H207" t="s">
        <v>1</v>
      </c>
      <c r="I207" s="1">
        <v>44980</v>
      </c>
      <c r="J207" t="s">
        <v>28</v>
      </c>
      <c r="K207">
        <f>F207*G207</f>
        <v>40.659999999999997</v>
      </c>
      <c r="L207" t="str">
        <f>_xlfn.IFS(D207&lt;20,"Below 20",D207&lt;=30,"20-30",D207&lt;=40,"31-40",D207&lt;=50,"41-50",D207&lt;=60,"51-60",TRUE,"60+")</f>
        <v>51-60</v>
      </c>
      <c r="M207" t="str">
        <f>_xlfn.IFS(K207&lt;500,"Low Spend",K207&lt;=2000,"Medium Spend",K207&lt;=5000,"High Spend",TRUE,"Premium Spend")</f>
        <v>Low Spend</v>
      </c>
      <c r="N207" t="str">
        <f>_xlfn.IFS(F207=1,"1 Item",F207&lt;=3,"2-3 Items",F207&lt;=5,"4-5 Items",TRUE,"6+ Items")</f>
        <v>1 Item</v>
      </c>
      <c r="O207" t="str">
        <f>TEXT(I207,"mmm")</f>
        <v>Feb</v>
      </c>
      <c r="P207">
        <f>MONTH(I207)</f>
        <v>2</v>
      </c>
      <c r="Q207">
        <f>YEAR(I207)</f>
        <v>2023</v>
      </c>
      <c r="R207" t="str">
        <f>IF(K207&gt;=5000,"High Value","Regular")</f>
        <v>Regular</v>
      </c>
      <c r="S207" t="str">
        <f>IF(F207&gt;=4,"Bulk Order","Normal Order")</f>
        <v>Normal Order</v>
      </c>
    </row>
    <row r="208" spans="1:19" x14ac:dyDescent="0.3">
      <c r="A208" t="s">
        <v>608</v>
      </c>
      <c r="B208" t="s">
        <v>607</v>
      </c>
      <c r="C208" t="s">
        <v>12</v>
      </c>
      <c r="D208">
        <v>25</v>
      </c>
      <c r="E208" t="s">
        <v>61</v>
      </c>
      <c r="F208">
        <v>3</v>
      </c>
      <c r="G208">
        <v>45.45</v>
      </c>
      <c r="H208" t="s">
        <v>7</v>
      </c>
      <c r="I208" s="1">
        <v>44382</v>
      </c>
      <c r="J208" t="s">
        <v>68</v>
      </c>
      <c r="K208">
        <f>F208*G208</f>
        <v>136.35000000000002</v>
      </c>
      <c r="L208" t="str">
        <f>_xlfn.IFS(D208&lt;20,"Below 20",D208&lt;=30,"20-30",D208&lt;=40,"31-40",D208&lt;=50,"41-50",D208&lt;=60,"51-60",TRUE,"60+")</f>
        <v>20-30</v>
      </c>
      <c r="M208" t="str">
        <f>_xlfn.IFS(K208&lt;500,"Low Spend",K208&lt;=2000,"Medium Spend",K208&lt;=5000,"High Spend",TRUE,"Premium Spend")</f>
        <v>Low Spend</v>
      </c>
      <c r="N208" t="str">
        <f>_xlfn.IFS(F208=1,"1 Item",F208&lt;=3,"2-3 Items",F208&lt;=5,"4-5 Items",TRUE,"6+ Items")</f>
        <v>2-3 Items</v>
      </c>
      <c r="O208" t="str">
        <f>TEXT(I208,"mmm")</f>
        <v>Jul</v>
      </c>
      <c r="P208">
        <f>MONTH(I208)</f>
        <v>7</v>
      </c>
      <c r="Q208">
        <f>YEAR(I208)</f>
        <v>2021</v>
      </c>
      <c r="R208" t="str">
        <f>IF(K208&gt;=5000,"High Value","Regular")</f>
        <v>Regular</v>
      </c>
      <c r="S208" t="str">
        <f>IF(F208&gt;=4,"Bulk Order","Normal Order")</f>
        <v>Normal Order</v>
      </c>
    </row>
    <row r="209" spans="1:19" x14ac:dyDescent="0.3">
      <c r="A209" t="s">
        <v>606</v>
      </c>
      <c r="B209" t="s">
        <v>605</v>
      </c>
      <c r="C209" t="s">
        <v>12</v>
      </c>
      <c r="D209">
        <v>66</v>
      </c>
      <c r="E209" t="s">
        <v>61</v>
      </c>
      <c r="F209">
        <v>5</v>
      </c>
      <c r="G209">
        <v>75.75</v>
      </c>
      <c r="H209" t="s">
        <v>15</v>
      </c>
      <c r="I209" s="1">
        <v>44439</v>
      </c>
      <c r="J209" t="s">
        <v>28</v>
      </c>
      <c r="K209">
        <f>F209*G209</f>
        <v>378.75</v>
      </c>
      <c r="L209" t="str">
        <f>_xlfn.IFS(D209&lt;20,"Below 20",D209&lt;=30,"20-30",D209&lt;=40,"31-40",D209&lt;=50,"41-50",D209&lt;=60,"51-60",TRUE,"60+")</f>
        <v>60+</v>
      </c>
      <c r="M209" t="str">
        <f>_xlfn.IFS(K209&lt;500,"Low Spend",K209&lt;=2000,"Medium Spend",K209&lt;=5000,"High Spend",TRUE,"Premium Spend")</f>
        <v>Low Spend</v>
      </c>
      <c r="N209" t="str">
        <f>_xlfn.IFS(F209=1,"1 Item",F209&lt;=3,"2-3 Items",F209&lt;=5,"4-5 Items",TRUE,"6+ Items")</f>
        <v>4-5 Items</v>
      </c>
      <c r="O209" t="str">
        <f>TEXT(I209,"mmm")</f>
        <v>Aug</v>
      </c>
      <c r="P209">
        <f>MONTH(I209)</f>
        <v>8</v>
      </c>
      <c r="Q209">
        <f>YEAR(I209)</f>
        <v>2021</v>
      </c>
      <c r="R209" t="str">
        <f>IF(K209&gt;=5000,"High Value","Regular")</f>
        <v>Regular</v>
      </c>
      <c r="S209" t="str">
        <f>IF(F209&gt;=4,"Bulk Order","Normal Order")</f>
        <v>Bulk Order</v>
      </c>
    </row>
    <row r="210" spans="1:19" x14ac:dyDescent="0.3">
      <c r="A210" t="s">
        <v>604</v>
      </c>
      <c r="B210" t="s">
        <v>603</v>
      </c>
      <c r="C210" t="s">
        <v>3</v>
      </c>
      <c r="D210">
        <v>37</v>
      </c>
      <c r="E210" t="s">
        <v>23</v>
      </c>
      <c r="F210">
        <v>2</v>
      </c>
      <c r="G210">
        <v>23.46</v>
      </c>
      <c r="H210" t="s">
        <v>1</v>
      </c>
      <c r="I210" s="1">
        <v>44813</v>
      </c>
      <c r="J210" t="s">
        <v>6</v>
      </c>
      <c r="K210">
        <f>F210*G210</f>
        <v>46.92</v>
      </c>
      <c r="L210" t="str">
        <f>_xlfn.IFS(D210&lt;20,"Below 20",D210&lt;=30,"20-30",D210&lt;=40,"31-40",D210&lt;=50,"41-50",D210&lt;=60,"51-60",TRUE,"60+")</f>
        <v>31-40</v>
      </c>
      <c r="M210" t="str">
        <f>_xlfn.IFS(K210&lt;500,"Low Spend",K210&lt;=2000,"Medium Spend",K210&lt;=5000,"High Spend",TRUE,"Premium Spend")</f>
        <v>Low Spend</v>
      </c>
      <c r="N210" t="str">
        <f>_xlfn.IFS(F210=1,"1 Item",F210&lt;=3,"2-3 Items",F210&lt;=5,"4-5 Items",TRUE,"6+ Items")</f>
        <v>2-3 Items</v>
      </c>
      <c r="O210" t="str">
        <f>TEXT(I210,"mmm")</f>
        <v>Sep</v>
      </c>
      <c r="P210">
        <f>MONTH(I210)</f>
        <v>9</v>
      </c>
      <c r="Q210">
        <f>YEAR(I210)</f>
        <v>2022</v>
      </c>
      <c r="R210" t="str">
        <f>IF(K210&gt;=5000,"High Value","Regular")</f>
        <v>Regular</v>
      </c>
      <c r="S210" t="str">
        <f>IF(F210&gt;=4,"Bulk Order","Normal Order")</f>
        <v>Normal Order</v>
      </c>
    </row>
    <row r="211" spans="1:19" x14ac:dyDescent="0.3">
      <c r="A211" t="s">
        <v>602</v>
      </c>
      <c r="B211" t="s">
        <v>601</v>
      </c>
      <c r="C211" t="s">
        <v>3</v>
      </c>
      <c r="D211">
        <v>19</v>
      </c>
      <c r="E211" t="s">
        <v>16</v>
      </c>
      <c r="F211">
        <v>2</v>
      </c>
      <c r="G211">
        <v>10.46</v>
      </c>
      <c r="H211" t="s">
        <v>15</v>
      </c>
      <c r="I211" s="1">
        <v>44504</v>
      </c>
      <c r="J211" t="s">
        <v>22</v>
      </c>
      <c r="K211">
        <f>F211*G211</f>
        <v>20.92</v>
      </c>
      <c r="L211" t="str">
        <f>_xlfn.IFS(D211&lt;20,"Below 20",D211&lt;=30,"20-30",D211&lt;=40,"31-40",D211&lt;=50,"41-50",D211&lt;=60,"51-60",TRUE,"60+")</f>
        <v>Below 20</v>
      </c>
      <c r="M211" t="str">
        <f>_xlfn.IFS(K211&lt;500,"Low Spend",K211&lt;=2000,"Medium Spend",K211&lt;=5000,"High Spend",TRUE,"Premium Spend")</f>
        <v>Low Spend</v>
      </c>
      <c r="N211" t="str">
        <f>_xlfn.IFS(F211=1,"1 Item",F211&lt;=3,"2-3 Items",F211&lt;=5,"4-5 Items",TRUE,"6+ Items")</f>
        <v>2-3 Items</v>
      </c>
      <c r="O211" t="str">
        <f>TEXT(I211,"mmm")</f>
        <v>Nov</v>
      </c>
      <c r="P211">
        <f>MONTH(I211)</f>
        <v>11</v>
      </c>
      <c r="Q211">
        <f>YEAR(I211)</f>
        <v>2021</v>
      </c>
      <c r="R211" t="str">
        <f>IF(K211&gt;=5000,"High Value","Regular")</f>
        <v>Regular</v>
      </c>
      <c r="S211" t="str">
        <f>IF(F211&gt;=4,"Bulk Order","Normal Order")</f>
        <v>Normal Order</v>
      </c>
    </row>
    <row r="212" spans="1:19" x14ac:dyDescent="0.3">
      <c r="A212" t="s">
        <v>600</v>
      </c>
      <c r="B212" t="s">
        <v>599</v>
      </c>
      <c r="C212" t="s">
        <v>3</v>
      </c>
      <c r="D212">
        <v>53</v>
      </c>
      <c r="E212" t="s">
        <v>8</v>
      </c>
      <c r="F212">
        <v>5</v>
      </c>
      <c r="G212">
        <v>1500.4</v>
      </c>
      <c r="H212" t="s">
        <v>15</v>
      </c>
      <c r="I212" s="1">
        <v>44742</v>
      </c>
      <c r="J212" t="s">
        <v>28</v>
      </c>
      <c r="K212">
        <f>F212*G212</f>
        <v>7502</v>
      </c>
      <c r="L212" t="str">
        <f>_xlfn.IFS(D212&lt;20,"Below 20",D212&lt;=30,"20-30",D212&lt;=40,"31-40",D212&lt;=50,"41-50",D212&lt;=60,"51-60",TRUE,"60+")</f>
        <v>51-60</v>
      </c>
      <c r="M212" t="str">
        <f>_xlfn.IFS(K212&lt;500,"Low Spend",K212&lt;=2000,"Medium Spend",K212&lt;=5000,"High Spend",TRUE,"Premium Spend")</f>
        <v>Premium Spend</v>
      </c>
      <c r="N212" t="str">
        <f>_xlfn.IFS(F212=1,"1 Item",F212&lt;=3,"2-3 Items",F212&lt;=5,"4-5 Items",TRUE,"6+ Items")</f>
        <v>4-5 Items</v>
      </c>
      <c r="O212" t="str">
        <f>TEXT(I212,"mmm")</f>
        <v>Jun</v>
      </c>
      <c r="P212">
        <f>MONTH(I212)</f>
        <v>6</v>
      </c>
      <c r="Q212">
        <f>YEAR(I212)</f>
        <v>2022</v>
      </c>
      <c r="R212" t="str">
        <f>IF(K212&gt;=5000,"High Value","Regular")</f>
        <v>High Value</v>
      </c>
      <c r="S212" t="str">
        <f>IF(F212&gt;=4,"Bulk Order","Normal Order")</f>
        <v>Bulk Order</v>
      </c>
    </row>
    <row r="213" spans="1:19" x14ac:dyDescent="0.3">
      <c r="A213" t="s">
        <v>598</v>
      </c>
      <c r="B213" t="s">
        <v>597</v>
      </c>
      <c r="C213" t="s">
        <v>3</v>
      </c>
      <c r="D213">
        <v>69</v>
      </c>
      <c r="E213" t="s">
        <v>31</v>
      </c>
      <c r="F213">
        <v>1</v>
      </c>
      <c r="G213">
        <v>600.16999999999996</v>
      </c>
      <c r="H213" t="s">
        <v>15</v>
      </c>
      <c r="I213" s="1">
        <v>44401</v>
      </c>
      <c r="J213" t="s">
        <v>28</v>
      </c>
      <c r="K213">
        <f>F213*G213</f>
        <v>600.16999999999996</v>
      </c>
      <c r="L213" t="str">
        <f>_xlfn.IFS(D213&lt;20,"Below 20",D213&lt;=30,"20-30",D213&lt;=40,"31-40",D213&lt;=50,"41-50",D213&lt;=60,"51-60",TRUE,"60+")</f>
        <v>60+</v>
      </c>
      <c r="M213" t="str">
        <f>_xlfn.IFS(K213&lt;500,"Low Spend",K213&lt;=2000,"Medium Spend",K213&lt;=5000,"High Spend",TRUE,"Premium Spend")</f>
        <v>Medium Spend</v>
      </c>
      <c r="N213" t="str">
        <f>_xlfn.IFS(F213=1,"1 Item",F213&lt;=3,"2-3 Items",F213&lt;=5,"4-5 Items",TRUE,"6+ Items")</f>
        <v>1 Item</v>
      </c>
      <c r="O213" t="str">
        <f>TEXT(I213,"mmm")</f>
        <v>Jul</v>
      </c>
      <c r="P213">
        <f>MONTH(I213)</f>
        <v>7</v>
      </c>
      <c r="Q213">
        <f>YEAR(I213)</f>
        <v>2021</v>
      </c>
      <c r="R213" t="str">
        <f>IF(K213&gt;=5000,"High Value","Regular")</f>
        <v>Regular</v>
      </c>
      <c r="S213" t="str">
        <f>IF(F213&gt;=4,"Bulk Order","Normal Order")</f>
        <v>Normal Order</v>
      </c>
    </row>
    <row r="214" spans="1:19" x14ac:dyDescent="0.3">
      <c r="A214" t="s">
        <v>596</v>
      </c>
      <c r="B214" t="s">
        <v>595</v>
      </c>
      <c r="C214" t="s">
        <v>12</v>
      </c>
      <c r="D214">
        <v>69</v>
      </c>
      <c r="E214" t="s">
        <v>8</v>
      </c>
      <c r="F214">
        <v>5</v>
      </c>
      <c r="G214">
        <v>1500.4</v>
      </c>
      <c r="H214" t="s">
        <v>15</v>
      </c>
      <c r="I214" s="1">
        <v>44666</v>
      </c>
      <c r="J214" t="s">
        <v>68</v>
      </c>
      <c r="K214">
        <f>F214*G214</f>
        <v>7502</v>
      </c>
      <c r="L214" t="str">
        <f>_xlfn.IFS(D214&lt;20,"Below 20",D214&lt;=30,"20-30",D214&lt;=40,"31-40",D214&lt;=50,"41-50",D214&lt;=60,"51-60",TRUE,"60+")</f>
        <v>60+</v>
      </c>
      <c r="M214" t="str">
        <f>_xlfn.IFS(K214&lt;500,"Low Spend",K214&lt;=2000,"Medium Spend",K214&lt;=5000,"High Spend",TRUE,"Premium Spend")</f>
        <v>Premium Spend</v>
      </c>
      <c r="N214" t="str">
        <f>_xlfn.IFS(F214=1,"1 Item",F214&lt;=3,"2-3 Items",F214&lt;=5,"4-5 Items",TRUE,"6+ Items")</f>
        <v>4-5 Items</v>
      </c>
      <c r="O214" t="str">
        <f>TEXT(I214,"mmm")</f>
        <v>Apr</v>
      </c>
      <c r="P214">
        <f>MONTH(I214)</f>
        <v>4</v>
      </c>
      <c r="Q214">
        <f>YEAR(I214)</f>
        <v>2022</v>
      </c>
      <c r="R214" t="str">
        <f>IF(K214&gt;=5000,"High Value","Regular")</f>
        <v>High Value</v>
      </c>
      <c r="S214" t="str">
        <f>IF(F214&gt;=4,"Bulk Order","Normal Order")</f>
        <v>Bulk Order</v>
      </c>
    </row>
    <row r="215" spans="1:19" x14ac:dyDescent="0.3">
      <c r="A215" t="s">
        <v>594</v>
      </c>
      <c r="B215" t="s">
        <v>593</v>
      </c>
      <c r="C215" t="s">
        <v>3</v>
      </c>
      <c r="D215">
        <v>31</v>
      </c>
      <c r="E215" t="s">
        <v>16</v>
      </c>
      <c r="F215">
        <v>2</v>
      </c>
      <c r="G215">
        <v>10.46</v>
      </c>
      <c r="H215" t="s">
        <v>7</v>
      </c>
      <c r="I215" s="1">
        <v>44464</v>
      </c>
      <c r="J215" t="s">
        <v>68</v>
      </c>
      <c r="K215">
        <f>F215*G215</f>
        <v>20.92</v>
      </c>
      <c r="L215" t="str">
        <f>_xlfn.IFS(D215&lt;20,"Below 20",D215&lt;=30,"20-30",D215&lt;=40,"31-40",D215&lt;=50,"41-50",D215&lt;=60,"51-60",TRUE,"60+")</f>
        <v>31-40</v>
      </c>
      <c r="M215" t="str">
        <f>_xlfn.IFS(K215&lt;500,"Low Spend",K215&lt;=2000,"Medium Spend",K215&lt;=5000,"High Spend",TRUE,"Premium Spend")</f>
        <v>Low Spend</v>
      </c>
      <c r="N215" t="str">
        <f>_xlfn.IFS(F215=1,"1 Item",F215&lt;=3,"2-3 Items",F215&lt;=5,"4-5 Items",TRUE,"6+ Items")</f>
        <v>2-3 Items</v>
      </c>
      <c r="O215" t="str">
        <f>TEXT(I215,"mmm")</f>
        <v>Sep</v>
      </c>
      <c r="P215">
        <f>MONTH(I215)</f>
        <v>9</v>
      </c>
      <c r="Q215">
        <f>YEAR(I215)</f>
        <v>2021</v>
      </c>
      <c r="R215" t="str">
        <f>IF(K215&gt;=5000,"High Value","Regular")</f>
        <v>Regular</v>
      </c>
      <c r="S215" t="str">
        <f>IF(F215&gt;=4,"Bulk Order","Normal Order")</f>
        <v>Normal Order</v>
      </c>
    </row>
    <row r="216" spans="1:19" x14ac:dyDescent="0.3">
      <c r="A216" t="s">
        <v>592</v>
      </c>
      <c r="B216" t="s">
        <v>591</v>
      </c>
      <c r="C216" t="s">
        <v>12</v>
      </c>
      <c r="D216">
        <v>39</v>
      </c>
      <c r="E216" t="s">
        <v>61</v>
      </c>
      <c r="F216">
        <v>5</v>
      </c>
      <c r="G216">
        <v>75.75</v>
      </c>
      <c r="H216" t="s">
        <v>15</v>
      </c>
      <c r="I216" s="1">
        <v>44432</v>
      </c>
      <c r="J216" t="s">
        <v>28</v>
      </c>
      <c r="K216">
        <f>F216*G216</f>
        <v>378.75</v>
      </c>
      <c r="L216" t="str">
        <f>_xlfn.IFS(D216&lt;20,"Below 20",D216&lt;=30,"20-30",D216&lt;=40,"31-40",D216&lt;=50,"41-50",D216&lt;=60,"51-60",TRUE,"60+")</f>
        <v>31-40</v>
      </c>
      <c r="M216" t="str">
        <f>_xlfn.IFS(K216&lt;500,"Low Spend",K216&lt;=2000,"Medium Spend",K216&lt;=5000,"High Spend",TRUE,"Premium Spend")</f>
        <v>Low Spend</v>
      </c>
      <c r="N216" t="str">
        <f>_xlfn.IFS(F216=1,"1 Item",F216&lt;=3,"2-3 Items",F216&lt;=5,"4-5 Items",TRUE,"6+ Items")</f>
        <v>4-5 Items</v>
      </c>
      <c r="O216" t="str">
        <f>TEXT(I216,"mmm")</f>
        <v>Aug</v>
      </c>
      <c r="P216">
        <f>MONTH(I216)</f>
        <v>8</v>
      </c>
      <c r="Q216">
        <f>YEAR(I216)</f>
        <v>2021</v>
      </c>
      <c r="R216" t="str">
        <f>IF(K216&gt;=5000,"High Value","Regular")</f>
        <v>Regular</v>
      </c>
      <c r="S216" t="str">
        <f>IF(F216&gt;=4,"Bulk Order","Normal Order")</f>
        <v>Bulk Order</v>
      </c>
    </row>
    <row r="217" spans="1:19" x14ac:dyDescent="0.3">
      <c r="A217" t="s">
        <v>590</v>
      </c>
      <c r="B217" t="s">
        <v>589</v>
      </c>
      <c r="C217" t="s">
        <v>12</v>
      </c>
      <c r="D217">
        <v>53</v>
      </c>
      <c r="E217" t="s">
        <v>31</v>
      </c>
      <c r="F217">
        <v>5</v>
      </c>
      <c r="G217">
        <v>3000.85</v>
      </c>
      <c r="H217" t="s">
        <v>15</v>
      </c>
      <c r="I217" s="1">
        <v>44222</v>
      </c>
      <c r="J217" t="s">
        <v>107</v>
      </c>
      <c r="K217">
        <f>F217*G217</f>
        <v>15004.25</v>
      </c>
      <c r="L217" t="str">
        <f>_xlfn.IFS(D217&lt;20,"Below 20",D217&lt;=30,"20-30",D217&lt;=40,"31-40",D217&lt;=50,"41-50",D217&lt;=60,"51-60",TRUE,"60+")</f>
        <v>51-60</v>
      </c>
      <c r="M217" t="str">
        <f>_xlfn.IFS(K217&lt;500,"Low Spend",K217&lt;=2000,"Medium Spend",K217&lt;=5000,"High Spend",TRUE,"Premium Spend")</f>
        <v>Premium Spend</v>
      </c>
      <c r="N217" t="str">
        <f>_xlfn.IFS(F217=1,"1 Item",F217&lt;=3,"2-3 Items",F217&lt;=5,"4-5 Items",TRUE,"6+ Items")</f>
        <v>4-5 Items</v>
      </c>
      <c r="O217" t="str">
        <f>TEXT(I217,"mmm")</f>
        <v>Jan</v>
      </c>
      <c r="P217">
        <f>MONTH(I217)</f>
        <v>1</v>
      </c>
      <c r="Q217">
        <f>YEAR(I217)</f>
        <v>2021</v>
      </c>
      <c r="R217" t="str">
        <f>IF(K217&gt;=5000,"High Value","Regular")</f>
        <v>High Value</v>
      </c>
      <c r="S217" t="str">
        <f>IF(F217&gt;=4,"Bulk Order","Normal Order")</f>
        <v>Bulk Order</v>
      </c>
    </row>
    <row r="218" spans="1:19" x14ac:dyDescent="0.3">
      <c r="A218" t="s">
        <v>588</v>
      </c>
      <c r="B218" t="s">
        <v>587</v>
      </c>
      <c r="C218" t="s">
        <v>12</v>
      </c>
      <c r="D218">
        <v>26</v>
      </c>
      <c r="E218" t="s">
        <v>19</v>
      </c>
      <c r="F218">
        <v>2</v>
      </c>
      <c r="G218">
        <v>81.319999999999993</v>
      </c>
      <c r="H218" t="s">
        <v>15</v>
      </c>
      <c r="I218" s="1">
        <v>44597</v>
      </c>
      <c r="J218" t="s">
        <v>68</v>
      </c>
      <c r="K218">
        <f>F218*G218</f>
        <v>162.63999999999999</v>
      </c>
      <c r="L218" t="str">
        <f>_xlfn.IFS(D218&lt;20,"Below 20",D218&lt;=30,"20-30",D218&lt;=40,"31-40",D218&lt;=50,"41-50",D218&lt;=60,"51-60",TRUE,"60+")</f>
        <v>20-30</v>
      </c>
      <c r="M218" t="str">
        <f>_xlfn.IFS(K218&lt;500,"Low Spend",K218&lt;=2000,"Medium Spend",K218&lt;=5000,"High Spend",TRUE,"Premium Spend")</f>
        <v>Low Spend</v>
      </c>
      <c r="N218" t="str">
        <f>_xlfn.IFS(F218=1,"1 Item",F218&lt;=3,"2-3 Items",F218&lt;=5,"4-5 Items",TRUE,"6+ Items")</f>
        <v>2-3 Items</v>
      </c>
      <c r="O218" t="str">
        <f>TEXT(I218,"mmm")</f>
        <v>Feb</v>
      </c>
      <c r="P218">
        <f>MONTH(I218)</f>
        <v>2</v>
      </c>
      <c r="Q218">
        <f>YEAR(I218)</f>
        <v>2022</v>
      </c>
      <c r="R218" t="str">
        <f>IF(K218&gt;=5000,"High Value","Regular")</f>
        <v>Regular</v>
      </c>
      <c r="S218" t="str">
        <f>IF(F218&gt;=4,"Bulk Order","Normal Order")</f>
        <v>Normal Order</v>
      </c>
    </row>
    <row r="219" spans="1:19" x14ac:dyDescent="0.3">
      <c r="A219" t="s">
        <v>586</v>
      </c>
      <c r="B219" t="s">
        <v>585</v>
      </c>
      <c r="C219" t="s">
        <v>12</v>
      </c>
      <c r="D219">
        <v>63</v>
      </c>
      <c r="E219" t="s">
        <v>16</v>
      </c>
      <c r="F219">
        <v>3</v>
      </c>
      <c r="G219">
        <v>15.69</v>
      </c>
      <c r="H219" t="s">
        <v>15</v>
      </c>
      <c r="I219" s="1">
        <v>44904</v>
      </c>
      <c r="J219" t="s">
        <v>97</v>
      </c>
      <c r="K219">
        <f>F219*G219</f>
        <v>47.07</v>
      </c>
      <c r="L219" t="str">
        <f>_xlfn.IFS(D219&lt;20,"Below 20",D219&lt;=30,"20-30",D219&lt;=40,"31-40",D219&lt;=50,"41-50",D219&lt;=60,"51-60",TRUE,"60+")</f>
        <v>60+</v>
      </c>
      <c r="M219" t="str">
        <f>_xlfn.IFS(K219&lt;500,"Low Spend",K219&lt;=2000,"Medium Spend",K219&lt;=5000,"High Spend",TRUE,"Premium Spend")</f>
        <v>Low Spend</v>
      </c>
      <c r="N219" t="str">
        <f>_xlfn.IFS(F219=1,"1 Item",F219&lt;=3,"2-3 Items",F219&lt;=5,"4-5 Items",TRUE,"6+ Items")</f>
        <v>2-3 Items</v>
      </c>
      <c r="O219" t="str">
        <f>TEXT(I219,"mmm")</f>
        <v>Dec</v>
      </c>
      <c r="P219">
        <f>MONTH(I219)</f>
        <v>12</v>
      </c>
      <c r="Q219">
        <f>YEAR(I219)</f>
        <v>2022</v>
      </c>
      <c r="R219" t="str">
        <f>IF(K219&gt;=5000,"High Value","Regular")</f>
        <v>Regular</v>
      </c>
      <c r="S219" t="str">
        <f>IF(F219&gt;=4,"Bulk Order","Normal Order")</f>
        <v>Normal Order</v>
      </c>
    </row>
    <row r="220" spans="1:19" x14ac:dyDescent="0.3">
      <c r="A220" t="s">
        <v>584</v>
      </c>
      <c r="B220" t="s">
        <v>583</v>
      </c>
      <c r="C220" t="s">
        <v>3</v>
      </c>
      <c r="D220">
        <v>34</v>
      </c>
      <c r="E220" t="s">
        <v>8</v>
      </c>
      <c r="F220">
        <v>5</v>
      </c>
      <c r="G220">
        <v>1500.4</v>
      </c>
      <c r="H220" t="s">
        <v>15</v>
      </c>
      <c r="I220" s="1">
        <v>44241</v>
      </c>
      <c r="J220" t="s">
        <v>22</v>
      </c>
      <c r="K220">
        <f>F220*G220</f>
        <v>7502</v>
      </c>
      <c r="L220" t="str">
        <f>_xlfn.IFS(D220&lt;20,"Below 20",D220&lt;=30,"20-30",D220&lt;=40,"31-40",D220&lt;=50,"41-50",D220&lt;=60,"51-60",TRUE,"60+")</f>
        <v>31-40</v>
      </c>
      <c r="M220" t="str">
        <f>_xlfn.IFS(K220&lt;500,"Low Spend",K220&lt;=2000,"Medium Spend",K220&lt;=5000,"High Spend",TRUE,"Premium Spend")</f>
        <v>Premium Spend</v>
      </c>
      <c r="N220" t="str">
        <f>_xlfn.IFS(F220=1,"1 Item",F220&lt;=3,"2-3 Items",F220&lt;=5,"4-5 Items",TRUE,"6+ Items")</f>
        <v>4-5 Items</v>
      </c>
      <c r="O220" t="str">
        <f>TEXT(I220,"mmm")</f>
        <v>Feb</v>
      </c>
      <c r="P220">
        <f>MONTH(I220)</f>
        <v>2</v>
      </c>
      <c r="Q220">
        <f>YEAR(I220)</f>
        <v>2021</v>
      </c>
      <c r="R220" t="str">
        <f>IF(K220&gt;=5000,"High Value","Regular")</f>
        <v>High Value</v>
      </c>
      <c r="S220" t="str">
        <f>IF(F220&gt;=4,"Bulk Order","Normal Order")</f>
        <v>Bulk Order</v>
      </c>
    </row>
    <row r="221" spans="1:19" x14ac:dyDescent="0.3">
      <c r="A221" t="s">
        <v>582</v>
      </c>
      <c r="B221" t="s">
        <v>581</v>
      </c>
      <c r="C221" t="s">
        <v>12</v>
      </c>
      <c r="D221">
        <v>25</v>
      </c>
      <c r="E221" t="s">
        <v>16</v>
      </c>
      <c r="F221">
        <v>1</v>
      </c>
      <c r="G221">
        <v>5.23</v>
      </c>
      <c r="H221" t="s">
        <v>7</v>
      </c>
      <c r="I221" s="1">
        <v>44759</v>
      </c>
      <c r="J221" t="s">
        <v>28</v>
      </c>
      <c r="K221">
        <f>F221*G221</f>
        <v>5.23</v>
      </c>
      <c r="L221" t="str">
        <f>_xlfn.IFS(D221&lt;20,"Below 20",D221&lt;=30,"20-30",D221&lt;=40,"31-40",D221&lt;=50,"41-50",D221&lt;=60,"51-60",TRUE,"60+")</f>
        <v>20-30</v>
      </c>
      <c r="M221" t="str">
        <f>_xlfn.IFS(K221&lt;500,"Low Spend",K221&lt;=2000,"Medium Spend",K221&lt;=5000,"High Spend",TRUE,"Premium Spend")</f>
        <v>Low Spend</v>
      </c>
      <c r="N221" t="str">
        <f>_xlfn.IFS(F221=1,"1 Item",F221&lt;=3,"2-3 Items",F221&lt;=5,"4-5 Items",TRUE,"6+ Items")</f>
        <v>1 Item</v>
      </c>
      <c r="O221" t="str">
        <f>TEXT(I221,"mmm")</f>
        <v>Jul</v>
      </c>
      <c r="P221">
        <f>MONTH(I221)</f>
        <v>7</v>
      </c>
      <c r="Q221">
        <f>YEAR(I221)</f>
        <v>2022</v>
      </c>
      <c r="R221" t="str">
        <f>IF(K221&gt;=5000,"High Value","Regular")</f>
        <v>Regular</v>
      </c>
      <c r="S221" t="str">
        <f>IF(F221&gt;=4,"Bulk Order","Normal Order")</f>
        <v>Normal Order</v>
      </c>
    </row>
    <row r="222" spans="1:19" x14ac:dyDescent="0.3">
      <c r="A222" t="s">
        <v>580</v>
      </c>
      <c r="B222" t="s">
        <v>579</v>
      </c>
      <c r="C222" t="s">
        <v>3</v>
      </c>
      <c r="D222">
        <v>20</v>
      </c>
      <c r="E222" t="s">
        <v>31</v>
      </c>
      <c r="F222">
        <v>3</v>
      </c>
      <c r="G222">
        <v>1800.51</v>
      </c>
      <c r="H222" t="s">
        <v>15</v>
      </c>
      <c r="I222" s="1">
        <v>44199</v>
      </c>
      <c r="J222" t="s">
        <v>68</v>
      </c>
      <c r="K222">
        <f>F222*G222</f>
        <v>5401.53</v>
      </c>
      <c r="L222" t="str">
        <f>_xlfn.IFS(D222&lt;20,"Below 20",D222&lt;=30,"20-30",D222&lt;=40,"31-40",D222&lt;=50,"41-50",D222&lt;=60,"51-60",TRUE,"60+")</f>
        <v>20-30</v>
      </c>
      <c r="M222" t="str">
        <f>_xlfn.IFS(K222&lt;500,"Low Spend",K222&lt;=2000,"Medium Spend",K222&lt;=5000,"High Spend",TRUE,"Premium Spend")</f>
        <v>Premium Spend</v>
      </c>
      <c r="N222" t="str">
        <f>_xlfn.IFS(F222=1,"1 Item",F222&lt;=3,"2-3 Items",F222&lt;=5,"4-5 Items",TRUE,"6+ Items")</f>
        <v>2-3 Items</v>
      </c>
      <c r="O222" t="str">
        <f>TEXT(I222,"mmm")</f>
        <v>Jan</v>
      </c>
      <c r="P222">
        <f>MONTH(I222)</f>
        <v>1</v>
      </c>
      <c r="Q222">
        <f>YEAR(I222)</f>
        <v>2021</v>
      </c>
      <c r="R222" t="str">
        <f>IF(K222&gt;=5000,"High Value","Regular")</f>
        <v>High Value</v>
      </c>
      <c r="S222" t="str">
        <f>IF(F222&gt;=4,"Bulk Order","Normal Order")</f>
        <v>Normal Order</v>
      </c>
    </row>
    <row r="223" spans="1:19" x14ac:dyDescent="0.3">
      <c r="A223" t="s">
        <v>578</v>
      </c>
      <c r="B223" t="s">
        <v>577</v>
      </c>
      <c r="C223" t="s">
        <v>3</v>
      </c>
      <c r="D223">
        <v>18</v>
      </c>
      <c r="E223" t="s">
        <v>8</v>
      </c>
      <c r="F223">
        <v>4</v>
      </c>
      <c r="G223">
        <v>1200.32</v>
      </c>
      <c r="H223" t="s">
        <v>7</v>
      </c>
      <c r="I223" s="1">
        <v>44826</v>
      </c>
      <c r="J223" t="s">
        <v>68</v>
      </c>
      <c r="K223">
        <f>F223*G223</f>
        <v>4801.28</v>
      </c>
      <c r="L223" t="str">
        <f>_xlfn.IFS(D223&lt;20,"Below 20",D223&lt;=30,"20-30",D223&lt;=40,"31-40",D223&lt;=50,"41-50",D223&lt;=60,"51-60",TRUE,"60+")</f>
        <v>Below 20</v>
      </c>
      <c r="M223" t="str">
        <f>_xlfn.IFS(K223&lt;500,"Low Spend",K223&lt;=2000,"Medium Spend",K223&lt;=5000,"High Spend",TRUE,"Premium Spend")</f>
        <v>High Spend</v>
      </c>
      <c r="N223" t="str">
        <f>_xlfn.IFS(F223=1,"1 Item",F223&lt;=3,"2-3 Items",F223&lt;=5,"4-5 Items",TRUE,"6+ Items")</f>
        <v>4-5 Items</v>
      </c>
      <c r="O223" t="str">
        <f>TEXT(I223,"mmm")</f>
        <v>Sep</v>
      </c>
      <c r="P223">
        <f>MONTH(I223)</f>
        <v>9</v>
      </c>
      <c r="Q223">
        <f>YEAR(I223)</f>
        <v>2022</v>
      </c>
      <c r="R223" t="str">
        <f>IF(K223&gt;=5000,"High Value","Regular")</f>
        <v>Regular</v>
      </c>
      <c r="S223" t="str">
        <f>IF(F223&gt;=4,"Bulk Order","Normal Order")</f>
        <v>Bulk Order</v>
      </c>
    </row>
    <row r="224" spans="1:19" x14ac:dyDescent="0.3">
      <c r="A224" t="s">
        <v>576</v>
      </c>
      <c r="B224" t="s">
        <v>575</v>
      </c>
      <c r="C224" t="s">
        <v>12</v>
      </c>
      <c r="D224">
        <v>53</v>
      </c>
      <c r="E224" t="s">
        <v>19</v>
      </c>
      <c r="F224">
        <v>4</v>
      </c>
      <c r="G224">
        <v>162.63999999999999</v>
      </c>
      <c r="H224" t="s">
        <v>1</v>
      </c>
      <c r="I224" s="1">
        <v>44374</v>
      </c>
      <c r="J224" t="s">
        <v>28</v>
      </c>
      <c r="K224">
        <f>F224*G224</f>
        <v>650.55999999999995</v>
      </c>
      <c r="L224" t="str">
        <f>_xlfn.IFS(D224&lt;20,"Below 20",D224&lt;=30,"20-30",D224&lt;=40,"31-40",D224&lt;=50,"41-50",D224&lt;=60,"51-60",TRUE,"60+")</f>
        <v>51-60</v>
      </c>
      <c r="M224" t="str">
        <f>_xlfn.IFS(K224&lt;500,"Low Spend",K224&lt;=2000,"Medium Spend",K224&lt;=5000,"High Spend",TRUE,"Premium Spend")</f>
        <v>Medium Spend</v>
      </c>
      <c r="N224" t="str">
        <f>_xlfn.IFS(F224=1,"1 Item",F224&lt;=3,"2-3 Items",F224&lt;=5,"4-5 Items",TRUE,"6+ Items")</f>
        <v>4-5 Items</v>
      </c>
      <c r="O224" t="str">
        <f>TEXT(I224,"mmm")</f>
        <v>Jun</v>
      </c>
      <c r="P224">
        <f>MONTH(I224)</f>
        <v>6</v>
      </c>
      <c r="Q224">
        <f>YEAR(I224)</f>
        <v>2021</v>
      </c>
      <c r="R224" t="str">
        <f>IF(K224&gt;=5000,"High Value","Regular")</f>
        <v>Regular</v>
      </c>
      <c r="S224" t="str">
        <f>IF(F224&gt;=4,"Bulk Order","Normal Order")</f>
        <v>Bulk Order</v>
      </c>
    </row>
    <row r="225" spans="1:19" x14ac:dyDescent="0.3">
      <c r="A225" t="s">
        <v>574</v>
      </c>
      <c r="B225" t="s">
        <v>573</v>
      </c>
      <c r="C225" t="s">
        <v>12</v>
      </c>
      <c r="D225">
        <v>46</v>
      </c>
      <c r="E225" t="s">
        <v>19</v>
      </c>
      <c r="F225">
        <v>4</v>
      </c>
      <c r="G225">
        <v>162.63999999999999</v>
      </c>
      <c r="H225" t="s">
        <v>15</v>
      </c>
      <c r="I225" s="1">
        <v>44960</v>
      </c>
      <c r="J225" t="s">
        <v>22</v>
      </c>
      <c r="K225">
        <f>F225*G225</f>
        <v>650.55999999999995</v>
      </c>
      <c r="L225" t="str">
        <f>_xlfn.IFS(D225&lt;20,"Below 20",D225&lt;=30,"20-30",D225&lt;=40,"31-40",D225&lt;=50,"41-50",D225&lt;=60,"51-60",TRUE,"60+")</f>
        <v>41-50</v>
      </c>
      <c r="M225" t="str">
        <f>_xlfn.IFS(K225&lt;500,"Low Spend",K225&lt;=2000,"Medium Spend",K225&lt;=5000,"High Spend",TRUE,"Premium Spend")</f>
        <v>Medium Spend</v>
      </c>
      <c r="N225" t="str">
        <f>_xlfn.IFS(F225=1,"1 Item",F225&lt;=3,"2-3 Items",F225&lt;=5,"4-5 Items",TRUE,"6+ Items")</f>
        <v>4-5 Items</v>
      </c>
      <c r="O225" t="str">
        <f>TEXT(I225,"mmm")</f>
        <v>Feb</v>
      </c>
      <c r="P225">
        <f>MONTH(I225)</f>
        <v>2</v>
      </c>
      <c r="Q225">
        <f>YEAR(I225)</f>
        <v>2023</v>
      </c>
      <c r="R225" t="str">
        <f>IF(K225&gt;=5000,"High Value","Regular")</f>
        <v>Regular</v>
      </c>
      <c r="S225" t="str">
        <f>IF(F225&gt;=4,"Bulk Order","Normal Order")</f>
        <v>Bulk Order</v>
      </c>
    </row>
    <row r="226" spans="1:19" x14ac:dyDescent="0.3">
      <c r="A226" t="s">
        <v>572</v>
      </c>
      <c r="B226" t="s">
        <v>571</v>
      </c>
      <c r="C226" t="s">
        <v>3</v>
      </c>
      <c r="D226">
        <v>34</v>
      </c>
      <c r="E226" t="s">
        <v>8</v>
      </c>
      <c r="F226">
        <v>1</v>
      </c>
      <c r="G226">
        <v>300.08</v>
      </c>
      <c r="H226" t="s">
        <v>1</v>
      </c>
      <c r="I226" s="1">
        <v>44406</v>
      </c>
      <c r="J226" t="s">
        <v>0</v>
      </c>
      <c r="K226">
        <f>F226*G226</f>
        <v>300.08</v>
      </c>
      <c r="L226" t="str">
        <f>_xlfn.IFS(D226&lt;20,"Below 20",D226&lt;=30,"20-30",D226&lt;=40,"31-40",D226&lt;=50,"41-50",D226&lt;=60,"51-60",TRUE,"60+")</f>
        <v>31-40</v>
      </c>
      <c r="M226" t="str">
        <f>_xlfn.IFS(K226&lt;500,"Low Spend",K226&lt;=2000,"Medium Spend",K226&lt;=5000,"High Spend",TRUE,"Premium Spend")</f>
        <v>Low Spend</v>
      </c>
      <c r="N226" t="str">
        <f>_xlfn.IFS(F226=1,"1 Item",F226&lt;=3,"2-3 Items",F226&lt;=5,"4-5 Items",TRUE,"6+ Items")</f>
        <v>1 Item</v>
      </c>
      <c r="O226" t="str">
        <f>TEXT(I226,"mmm")</f>
        <v>Jul</v>
      </c>
      <c r="P226">
        <f>MONTH(I226)</f>
        <v>7</v>
      </c>
      <c r="Q226">
        <f>YEAR(I226)</f>
        <v>2021</v>
      </c>
      <c r="R226" t="str">
        <f>IF(K226&gt;=5000,"High Value","Regular")</f>
        <v>Regular</v>
      </c>
      <c r="S226" t="str">
        <f>IF(F226&gt;=4,"Bulk Order","Normal Order")</f>
        <v>Normal Order</v>
      </c>
    </row>
    <row r="227" spans="1:19" x14ac:dyDescent="0.3">
      <c r="A227" t="s">
        <v>570</v>
      </c>
      <c r="B227" t="s">
        <v>569</v>
      </c>
      <c r="C227" t="s">
        <v>3</v>
      </c>
      <c r="D227">
        <v>61</v>
      </c>
      <c r="E227" t="s">
        <v>8</v>
      </c>
      <c r="F227">
        <v>3</v>
      </c>
      <c r="G227">
        <v>900.24</v>
      </c>
      <c r="H227" t="s">
        <v>15</v>
      </c>
      <c r="I227" s="1">
        <v>44903</v>
      </c>
      <c r="J227" t="s">
        <v>68</v>
      </c>
      <c r="K227">
        <f>F227*G227</f>
        <v>2700.7200000000003</v>
      </c>
      <c r="L227" t="str">
        <f>_xlfn.IFS(D227&lt;20,"Below 20",D227&lt;=30,"20-30",D227&lt;=40,"31-40",D227&lt;=50,"41-50",D227&lt;=60,"51-60",TRUE,"60+")</f>
        <v>60+</v>
      </c>
      <c r="M227" t="str">
        <f>_xlfn.IFS(K227&lt;500,"Low Spend",K227&lt;=2000,"Medium Spend",K227&lt;=5000,"High Spend",TRUE,"Premium Spend")</f>
        <v>High Spend</v>
      </c>
      <c r="N227" t="str">
        <f>_xlfn.IFS(F227=1,"1 Item",F227&lt;=3,"2-3 Items",F227&lt;=5,"4-5 Items",TRUE,"6+ Items")</f>
        <v>2-3 Items</v>
      </c>
      <c r="O227" t="str">
        <f>TEXT(I227,"mmm")</f>
        <v>Dec</v>
      </c>
      <c r="P227">
        <f>MONTH(I227)</f>
        <v>12</v>
      </c>
      <c r="Q227">
        <f>YEAR(I227)</f>
        <v>2022</v>
      </c>
      <c r="R227" t="str">
        <f>IF(K227&gt;=5000,"High Value","Regular")</f>
        <v>Regular</v>
      </c>
      <c r="S227" t="str">
        <f>IF(F227&gt;=4,"Bulk Order","Normal Order")</f>
        <v>Normal Order</v>
      </c>
    </row>
    <row r="228" spans="1:19" x14ac:dyDescent="0.3">
      <c r="A228" t="s">
        <v>568</v>
      </c>
      <c r="B228" t="s">
        <v>567</v>
      </c>
      <c r="C228" t="s">
        <v>3</v>
      </c>
      <c r="D228">
        <v>38</v>
      </c>
      <c r="E228" t="s">
        <v>8</v>
      </c>
      <c r="F228">
        <v>5</v>
      </c>
      <c r="G228">
        <v>1500.4</v>
      </c>
      <c r="H228" t="s">
        <v>1</v>
      </c>
      <c r="I228" s="1">
        <v>44784</v>
      </c>
      <c r="J228" t="s">
        <v>22</v>
      </c>
      <c r="K228">
        <f>F228*G228</f>
        <v>7502</v>
      </c>
      <c r="L228" t="str">
        <f>_xlfn.IFS(D228&lt;20,"Below 20",D228&lt;=30,"20-30",D228&lt;=40,"31-40",D228&lt;=50,"41-50",D228&lt;=60,"51-60",TRUE,"60+")</f>
        <v>31-40</v>
      </c>
      <c r="M228" t="str">
        <f>_xlfn.IFS(K228&lt;500,"Low Spend",K228&lt;=2000,"Medium Spend",K228&lt;=5000,"High Spend",TRUE,"Premium Spend")</f>
        <v>Premium Spend</v>
      </c>
      <c r="N228" t="str">
        <f>_xlfn.IFS(F228=1,"1 Item",F228&lt;=3,"2-3 Items",F228&lt;=5,"4-5 Items",TRUE,"6+ Items")</f>
        <v>4-5 Items</v>
      </c>
      <c r="O228" t="str">
        <f>TEXT(I228,"mmm")</f>
        <v>Aug</v>
      </c>
      <c r="P228">
        <f>MONTH(I228)</f>
        <v>8</v>
      </c>
      <c r="Q228">
        <f>YEAR(I228)</f>
        <v>2022</v>
      </c>
      <c r="R228" t="str">
        <f>IF(K228&gt;=5000,"High Value","Regular")</f>
        <v>High Value</v>
      </c>
      <c r="S228" t="str">
        <f>IF(F228&gt;=4,"Bulk Order","Normal Order")</f>
        <v>Bulk Order</v>
      </c>
    </row>
    <row r="229" spans="1:19" x14ac:dyDescent="0.3">
      <c r="A229" t="s">
        <v>566</v>
      </c>
      <c r="B229" t="s">
        <v>565</v>
      </c>
      <c r="C229" t="s">
        <v>3</v>
      </c>
      <c r="D229">
        <v>67</v>
      </c>
      <c r="E229" t="s">
        <v>16</v>
      </c>
      <c r="F229">
        <v>3</v>
      </c>
      <c r="G229">
        <v>15.69</v>
      </c>
      <c r="H229" t="s">
        <v>15</v>
      </c>
      <c r="I229" s="1">
        <v>44452</v>
      </c>
      <c r="J229" t="s">
        <v>68</v>
      </c>
      <c r="K229">
        <f>F229*G229</f>
        <v>47.07</v>
      </c>
      <c r="L229" t="str">
        <f>_xlfn.IFS(D229&lt;20,"Below 20",D229&lt;=30,"20-30",D229&lt;=40,"31-40",D229&lt;=50,"41-50",D229&lt;=60,"51-60",TRUE,"60+")</f>
        <v>60+</v>
      </c>
      <c r="M229" t="str">
        <f>_xlfn.IFS(K229&lt;500,"Low Spend",K229&lt;=2000,"Medium Spend",K229&lt;=5000,"High Spend",TRUE,"Premium Spend")</f>
        <v>Low Spend</v>
      </c>
      <c r="N229" t="str">
        <f>_xlfn.IFS(F229=1,"1 Item",F229&lt;=3,"2-3 Items",F229&lt;=5,"4-5 Items",TRUE,"6+ Items")</f>
        <v>2-3 Items</v>
      </c>
      <c r="O229" t="str">
        <f>TEXT(I229,"mmm")</f>
        <v>Sep</v>
      </c>
      <c r="P229">
        <f>MONTH(I229)</f>
        <v>9</v>
      </c>
      <c r="Q229">
        <f>YEAR(I229)</f>
        <v>2021</v>
      </c>
      <c r="R229" t="str">
        <f>IF(K229&gt;=5000,"High Value","Regular")</f>
        <v>Regular</v>
      </c>
      <c r="S229" t="str">
        <f>IF(F229&gt;=4,"Bulk Order","Normal Order")</f>
        <v>Normal Order</v>
      </c>
    </row>
    <row r="230" spans="1:19" x14ac:dyDescent="0.3">
      <c r="A230" t="s">
        <v>564</v>
      </c>
      <c r="B230" t="s">
        <v>563</v>
      </c>
      <c r="C230" t="s">
        <v>12</v>
      </c>
      <c r="D230">
        <v>33</v>
      </c>
      <c r="E230" t="s">
        <v>2</v>
      </c>
      <c r="F230">
        <v>4</v>
      </c>
      <c r="G230">
        <v>143.36000000000001</v>
      </c>
      <c r="H230" t="s">
        <v>1</v>
      </c>
      <c r="I230" s="1">
        <v>44708</v>
      </c>
      <c r="J230" t="s">
        <v>0</v>
      </c>
      <c r="K230">
        <f>F230*G230</f>
        <v>573.44000000000005</v>
      </c>
      <c r="L230" t="str">
        <f>_xlfn.IFS(D230&lt;20,"Below 20",D230&lt;=30,"20-30",D230&lt;=40,"31-40",D230&lt;=50,"41-50",D230&lt;=60,"51-60",TRUE,"60+")</f>
        <v>31-40</v>
      </c>
      <c r="M230" t="str">
        <f>_xlfn.IFS(K230&lt;500,"Low Spend",K230&lt;=2000,"Medium Spend",K230&lt;=5000,"High Spend",TRUE,"Premium Spend")</f>
        <v>Medium Spend</v>
      </c>
      <c r="N230" t="str">
        <f>_xlfn.IFS(F230=1,"1 Item",F230&lt;=3,"2-3 Items",F230&lt;=5,"4-5 Items",TRUE,"6+ Items")</f>
        <v>4-5 Items</v>
      </c>
      <c r="O230" t="str">
        <f>TEXT(I230,"mmm")</f>
        <v>May</v>
      </c>
      <c r="P230">
        <f>MONTH(I230)</f>
        <v>5</v>
      </c>
      <c r="Q230">
        <f>YEAR(I230)</f>
        <v>2022</v>
      </c>
      <c r="R230" t="str">
        <f>IF(K230&gt;=5000,"High Value","Regular")</f>
        <v>Regular</v>
      </c>
      <c r="S230" t="str">
        <f>IF(F230&gt;=4,"Bulk Order","Normal Order")</f>
        <v>Bulk Order</v>
      </c>
    </row>
    <row r="231" spans="1:19" x14ac:dyDescent="0.3">
      <c r="A231" t="s">
        <v>562</v>
      </c>
      <c r="B231" t="s">
        <v>561</v>
      </c>
      <c r="C231" t="s">
        <v>3</v>
      </c>
      <c r="D231">
        <v>63</v>
      </c>
      <c r="E231" t="s">
        <v>8</v>
      </c>
      <c r="F231">
        <v>4</v>
      </c>
      <c r="G231">
        <v>1200.32</v>
      </c>
      <c r="H231" t="s">
        <v>7</v>
      </c>
      <c r="I231" s="1">
        <v>44902</v>
      </c>
      <c r="J231" t="s">
        <v>107</v>
      </c>
      <c r="K231">
        <f>F231*G231</f>
        <v>4801.28</v>
      </c>
      <c r="L231" t="str">
        <f>_xlfn.IFS(D231&lt;20,"Below 20",D231&lt;=30,"20-30",D231&lt;=40,"31-40",D231&lt;=50,"41-50",D231&lt;=60,"51-60",TRUE,"60+")</f>
        <v>60+</v>
      </c>
      <c r="M231" t="str">
        <f>_xlfn.IFS(K231&lt;500,"Low Spend",K231&lt;=2000,"Medium Spend",K231&lt;=5000,"High Spend",TRUE,"Premium Spend")</f>
        <v>High Spend</v>
      </c>
      <c r="N231" t="str">
        <f>_xlfn.IFS(F231=1,"1 Item",F231&lt;=3,"2-3 Items",F231&lt;=5,"4-5 Items",TRUE,"6+ Items")</f>
        <v>4-5 Items</v>
      </c>
      <c r="O231" t="str">
        <f>TEXT(I231,"mmm")</f>
        <v>Dec</v>
      </c>
      <c r="P231">
        <f>MONTH(I231)</f>
        <v>12</v>
      </c>
      <c r="Q231">
        <f>YEAR(I231)</f>
        <v>2022</v>
      </c>
      <c r="R231" t="str">
        <f>IF(K231&gt;=5000,"High Value","Regular")</f>
        <v>Regular</v>
      </c>
      <c r="S231" t="str">
        <f>IF(F231&gt;=4,"Bulk Order","Normal Order")</f>
        <v>Bulk Order</v>
      </c>
    </row>
    <row r="232" spans="1:19" x14ac:dyDescent="0.3">
      <c r="A232" t="s">
        <v>560</v>
      </c>
      <c r="B232" t="s">
        <v>559</v>
      </c>
      <c r="C232" t="s">
        <v>3</v>
      </c>
      <c r="D232">
        <v>21</v>
      </c>
      <c r="E232" t="s">
        <v>8</v>
      </c>
      <c r="F232">
        <v>5</v>
      </c>
      <c r="G232">
        <v>1500.4</v>
      </c>
      <c r="H232" t="s">
        <v>7</v>
      </c>
      <c r="I232" s="1">
        <v>44566</v>
      </c>
      <c r="J232" t="s">
        <v>102</v>
      </c>
      <c r="K232">
        <f>F232*G232</f>
        <v>7502</v>
      </c>
      <c r="L232" t="str">
        <f>_xlfn.IFS(D232&lt;20,"Below 20",D232&lt;=30,"20-30",D232&lt;=40,"31-40",D232&lt;=50,"41-50",D232&lt;=60,"51-60",TRUE,"60+")</f>
        <v>20-30</v>
      </c>
      <c r="M232" t="str">
        <f>_xlfn.IFS(K232&lt;500,"Low Spend",K232&lt;=2000,"Medium Spend",K232&lt;=5000,"High Spend",TRUE,"Premium Spend")</f>
        <v>Premium Spend</v>
      </c>
      <c r="N232" t="str">
        <f>_xlfn.IFS(F232=1,"1 Item",F232&lt;=3,"2-3 Items",F232&lt;=5,"4-5 Items",TRUE,"6+ Items")</f>
        <v>4-5 Items</v>
      </c>
      <c r="O232" t="str">
        <f>TEXT(I232,"mmm")</f>
        <v>Jan</v>
      </c>
      <c r="P232">
        <f>MONTH(I232)</f>
        <v>1</v>
      </c>
      <c r="Q232">
        <f>YEAR(I232)</f>
        <v>2022</v>
      </c>
      <c r="R232" t="str">
        <f>IF(K232&gt;=5000,"High Value","Regular")</f>
        <v>High Value</v>
      </c>
      <c r="S232" t="str">
        <f>IF(F232&gt;=4,"Bulk Order","Normal Order")</f>
        <v>Bulk Order</v>
      </c>
    </row>
    <row r="233" spans="1:19" x14ac:dyDescent="0.3">
      <c r="A233" t="s">
        <v>558</v>
      </c>
      <c r="B233" t="s">
        <v>557</v>
      </c>
      <c r="C233" t="s">
        <v>3</v>
      </c>
      <c r="D233">
        <v>41</v>
      </c>
      <c r="E233" t="s">
        <v>19</v>
      </c>
      <c r="F233">
        <v>4</v>
      </c>
      <c r="G233">
        <v>162.63999999999999</v>
      </c>
      <c r="H233" t="s">
        <v>7</v>
      </c>
      <c r="I233" s="1">
        <v>44656</v>
      </c>
      <c r="J233" t="s">
        <v>28</v>
      </c>
      <c r="K233">
        <f>F233*G233</f>
        <v>650.55999999999995</v>
      </c>
      <c r="L233" t="str">
        <f>_xlfn.IFS(D233&lt;20,"Below 20",D233&lt;=30,"20-30",D233&lt;=40,"31-40",D233&lt;=50,"41-50",D233&lt;=60,"51-60",TRUE,"60+")</f>
        <v>41-50</v>
      </c>
      <c r="M233" t="str">
        <f>_xlfn.IFS(K233&lt;500,"Low Spend",K233&lt;=2000,"Medium Spend",K233&lt;=5000,"High Spend",TRUE,"Premium Spend")</f>
        <v>Medium Spend</v>
      </c>
      <c r="N233" t="str">
        <f>_xlfn.IFS(F233=1,"1 Item",F233&lt;=3,"2-3 Items",F233&lt;=5,"4-5 Items",TRUE,"6+ Items")</f>
        <v>4-5 Items</v>
      </c>
      <c r="O233" t="str">
        <f>TEXT(I233,"mmm")</f>
        <v>Apr</v>
      </c>
      <c r="P233">
        <f>MONTH(I233)</f>
        <v>4</v>
      </c>
      <c r="Q233">
        <f>YEAR(I233)</f>
        <v>2022</v>
      </c>
      <c r="R233" t="str">
        <f>IF(K233&gt;=5000,"High Value","Regular")</f>
        <v>Regular</v>
      </c>
      <c r="S233" t="str">
        <f>IF(F233&gt;=4,"Bulk Order","Normal Order")</f>
        <v>Bulk Order</v>
      </c>
    </row>
    <row r="234" spans="1:19" x14ac:dyDescent="0.3">
      <c r="A234" t="s">
        <v>556</v>
      </c>
      <c r="B234" t="s">
        <v>555</v>
      </c>
      <c r="C234" t="s">
        <v>3</v>
      </c>
      <c r="D234">
        <v>48</v>
      </c>
      <c r="E234" t="s">
        <v>16</v>
      </c>
      <c r="F234">
        <v>1</v>
      </c>
      <c r="G234">
        <v>5.23</v>
      </c>
      <c r="H234" t="s">
        <v>1</v>
      </c>
      <c r="I234" s="1">
        <v>44571</v>
      </c>
      <c r="J234" t="s">
        <v>102</v>
      </c>
      <c r="K234">
        <f>F234*G234</f>
        <v>5.23</v>
      </c>
      <c r="L234" t="str">
        <f>_xlfn.IFS(D234&lt;20,"Below 20",D234&lt;=30,"20-30",D234&lt;=40,"31-40",D234&lt;=50,"41-50",D234&lt;=60,"51-60",TRUE,"60+")</f>
        <v>41-50</v>
      </c>
      <c r="M234" t="str">
        <f>_xlfn.IFS(K234&lt;500,"Low Spend",K234&lt;=2000,"Medium Spend",K234&lt;=5000,"High Spend",TRUE,"Premium Spend")</f>
        <v>Low Spend</v>
      </c>
      <c r="N234" t="str">
        <f>_xlfn.IFS(F234=1,"1 Item",F234&lt;=3,"2-3 Items",F234&lt;=5,"4-5 Items",TRUE,"6+ Items")</f>
        <v>1 Item</v>
      </c>
      <c r="O234" t="str">
        <f>TEXT(I234,"mmm")</f>
        <v>Jan</v>
      </c>
      <c r="P234">
        <f>MONTH(I234)</f>
        <v>1</v>
      </c>
      <c r="Q234">
        <f>YEAR(I234)</f>
        <v>2022</v>
      </c>
      <c r="R234" t="str">
        <f>IF(K234&gt;=5000,"High Value","Regular")</f>
        <v>Regular</v>
      </c>
      <c r="S234" t="str">
        <f>IF(F234&gt;=4,"Bulk Order","Normal Order")</f>
        <v>Normal Order</v>
      </c>
    </row>
    <row r="235" spans="1:19" x14ac:dyDescent="0.3">
      <c r="A235" t="s">
        <v>554</v>
      </c>
      <c r="B235" t="s">
        <v>553</v>
      </c>
      <c r="C235" t="s">
        <v>12</v>
      </c>
      <c r="D235">
        <v>27</v>
      </c>
      <c r="E235" t="s">
        <v>112</v>
      </c>
      <c r="F235">
        <v>1</v>
      </c>
      <c r="G235">
        <v>1050</v>
      </c>
      <c r="H235" t="s">
        <v>7</v>
      </c>
      <c r="I235" s="1">
        <v>44591</v>
      </c>
      <c r="J235" t="s">
        <v>28</v>
      </c>
      <c r="K235">
        <f>F235*G235</f>
        <v>1050</v>
      </c>
      <c r="L235" t="str">
        <f>_xlfn.IFS(D235&lt;20,"Below 20",D235&lt;=30,"20-30",D235&lt;=40,"31-40",D235&lt;=50,"41-50",D235&lt;=60,"51-60",TRUE,"60+")</f>
        <v>20-30</v>
      </c>
      <c r="M235" t="str">
        <f>_xlfn.IFS(K235&lt;500,"Low Spend",K235&lt;=2000,"Medium Spend",K235&lt;=5000,"High Spend",TRUE,"Premium Spend")</f>
        <v>Medium Spend</v>
      </c>
      <c r="N235" t="str">
        <f>_xlfn.IFS(F235=1,"1 Item",F235&lt;=3,"2-3 Items",F235&lt;=5,"4-5 Items",TRUE,"6+ Items")</f>
        <v>1 Item</v>
      </c>
      <c r="O235" t="str">
        <f>TEXT(I235,"mmm")</f>
        <v>Jan</v>
      </c>
      <c r="P235">
        <f>MONTH(I235)</f>
        <v>1</v>
      </c>
      <c r="Q235">
        <f>YEAR(I235)</f>
        <v>2022</v>
      </c>
      <c r="R235" t="str">
        <f>IF(K235&gt;=5000,"High Value","Regular")</f>
        <v>Regular</v>
      </c>
      <c r="S235" t="str">
        <f>IF(F235&gt;=4,"Bulk Order","Normal Order")</f>
        <v>Normal Order</v>
      </c>
    </row>
    <row r="236" spans="1:19" x14ac:dyDescent="0.3">
      <c r="A236" t="s">
        <v>552</v>
      </c>
      <c r="B236" t="s">
        <v>551</v>
      </c>
      <c r="C236" t="s">
        <v>3</v>
      </c>
      <c r="D236">
        <v>22</v>
      </c>
      <c r="E236" t="s">
        <v>2</v>
      </c>
      <c r="F236">
        <v>5</v>
      </c>
      <c r="G236">
        <v>179.2</v>
      </c>
      <c r="H236" t="s">
        <v>1</v>
      </c>
      <c r="I236" s="1">
        <v>44916</v>
      </c>
      <c r="J236" t="s">
        <v>28</v>
      </c>
      <c r="K236">
        <f>F236*G236</f>
        <v>896</v>
      </c>
      <c r="L236" t="str">
        <f>_xlfn.IFS(D236&lt;20,"Below 20",D236&lt;=30,"20-30",D236&lt;=40,"31-40",D236&lt;=50,"41-50",D236&lt;=60,"51-60",TRUE,"60+")</f>
        <v>20-30</v>
      </c>
      <c r="M236" t="str">
        <f>_xlfn.IFS(K236&lt;500,"Low Spend",K236&lt;=2000,"Medium Spend",K236&lt;=5000,"High Spend",TRUE,"Premium Spend")</f>
        <v>Medium Spend</v>
      </c>
      <c r="N236" t="str">
        <f>_xlfn.IFS(F236=1,"1 Item",F236&lt;=3,"2-3 Items",F236&lt;=5,"4-5 Items",TRUE,"6+ Items")</f>
        <v>4-5 Items</v>
      </c>
      <c r="O236" t="str">
        <f>TEXT(I236,"mmm")</f>
        <v>Dec</v>
      </c>
      <c r="P236">
        <f>MONTH(I236)</f>
        <v>12</v>
      </c>
      <c r="Q236">
        <f>YEAR(I236)</f>
        <v>2022</v>
      </c>
      <c r="R236" t="str">
        <f>IF(K236&gt;=5000,"High Value","Regular")</f>
        <v>Regular</v>
      </c>
      <c r="S236" t="str">
        <f>IF(F236&gt;=4,"Bulk Order","Normal Order")</f>
        <v>Bulk Order</v>
      </c>
    </row>
    <row r="237" spans="1:19" x14ac:dyDescent="0.3">
      <c r="A237" t="s">
        <v>550</v>
      </c>
      <c r="B237" t="s">
        <v>549</v>
      </c>
      <c r="C237" t="s">
        <v>3</v>
      </c>
      <c r="D237">
        <v>54</v>
      </c>
      <c r="E237" t="s">
        <v>8</v>
      </c>
      <c r="F237">
        <v>4</v>
      </c>
      <c r="G237">
        <v>1200.32</v>
      </c>
      <c r="H237" t="s">
        <v>1</v>
      </c>
      <c r="I237" s="1">
        <v>44251</v>
      </c>
      <c r="J237" t="s">
        <v>68</v>
      </c>
      <c r="K237">
        <f>F237*G237</f>
        <v>4801.28</v>
      </c>
      <c r="L237" t="str">
        <f>_xlfn.IFS(D237&lt;20,"Below 20",D237&lt;=30,"20-30",D237&lt;=40,"31-40",D237&lt;=50,"41-50",D237&lt;=60,"51-60",TRUE,"60+")</f>
        <v>51-60</v>
      </c>
      <c r="M237" t="str">
        <f>_xlfn.IFS(K237&lt;500,"Low Spend",K237&lt;=2000,"Medium Spend",K237&lt;=5000,"High Spend",TRUE,"Premium Spend")</f>
        <v>High Spend</v>
      </c>
      <c r="N237" t="str">
        <f>_xlfn.IFS(F237=1,"1 Item",F237&lt;=3,"2-3 Items",F237&lt;=5,"4-5 Items",TRUE,"6+ Items")</f>
        <v>4-5 Items</v>
      </c>
      <c r="O237" t="str">
        <f>TEXT(I237,"mmm")</f>
        <v>Feb</v>
      </c>
      <c r="P237">
        <f>MONTH(I237)</f>
        <v>2</v>
      </c>
      <c r="Q237">
        <f>YEAR(I237)</f>
        <v>2021</v>
      </c>
      <c r="R237" t="str">
        <f>IF(K237&gt;=5000,"High Value","Regular")</f>
        <v>Regular</v>
      </c>
      <c r="S237" t="str">
        <f>IF(F237&gt;=4,"Bulk Order","Normal Order")</f>
        <v>Bulk Order</v>
      </c>
    </row>
    <row r="238" spans="1:19" x14ac:dyDescent="0.3">
      <c r="A238" t="s">
        <v>548</v>
      </c>
      <c r="B238" t="s">
        <v>547</v>
      </c>
      <c r="C238" t="s">
        <v>3</v>
      </c>
      <c r="D238">
        <v>51</v>
      </c>
      <c r="E238" t="s">
        <v>2</v>
      </c>
      <c r="F238">
        <v>1</v>
      </c>
      <c r="G238">
        <v>35.840000000000003</v>
      </c>
      <c r="H238" t="s">
        <v>15</v>
      </c>
      <c r="I238" s="1">
        <v>44761</v>
      </c>
      <c r="J238" t="s">
        <v>11</v>
      </c>
      <c r="K238">
        <f>F238*G238</f>
        <v>35.840000000000003</v>
      </c>
      <c r="L238" t="str">
        <f>_xlfn.IFS(D238&lt;20,"Below 20",D238&lt;=30,"20-30",D238&lt;=40,"31-40",D238&lt;=50,"41-50",D238&lt;=60,"51-60",TRUE,"60+")</f>
        <v>51-60</v>
      </c>
      <c r="M238" t="str">
        <f>_xlfn.IFS(K238&lt;500,"Low Spend",K238&lt;=2000,"Medium Spend",K238&lt;=5000,"High Spend",TRUE,"Premium Spend")</f>
        <v>Low Spend</v>
      </c>
      <c r="N238" t="str">
        <f>_xlfn.IFS(F238=1,"1 Item",F238&lt;=3,"2-3 Items",F238&lt;=5,"4-5 Items",TRUE,"6+ Items")</f>
        <v>1 Item</v>
      </c>
      <c r="O238" t="str">
        <f>TEXT(I238,"mmm")</f>
        <v>Jul</v>
      </c>
      <c r="P238">
        <f>MONTH(I238)</f>
        <v>7</v>
      </c>
      <c r="Q238">
        <f>YEAR(I238)</f>
        <v>2022</v>
      </c>
      <c r="R238" t="str">
        <f>IF(K238&gt;=5000,"High Value","Regular")</f>
        <v>Regular</v>
      </c>
      <c r="S238" t="str">
        <f>IF(F238&gt;=4,"Bulk Order","Normal Order")</f>
        <v>Normal Order</v>
      </c>
    </row>
    <row r="239" spans="1:19" x14ac:dyDescent="0.3">
      <c r="A239" t="s">
        <v>546</v>
      </c>
      <c r="B239" t="s">
        <v>545</v>
      </c>
      <c r="C239" t="s">
        <v>3</v>
      </c>
      <c r="D239">
        <v>29</v>
      </c>
      <c r="E239" t="s">
        <v>8</v>
      </c>
      <c r="F239">
        <v>1</v>
      </c>
      <c r="G239">
        <v>300.08</v>
      </c>
      <c r="H239" t="s">
        <v>7</v>
      </c>
      <c r="I239" s="1">
        <v>44941</v>
      </c>
      <c r="J239" t="s">
        <v>68</v>
      </c>
      <c r="K239">
        <f>F239*G239</f>
        <v>300.08</v>
      </c>
      <c r="L239" t="str">
        <f>_xlfn.IFS(D239&lt;20,"Below 20",D239&lt;=30,"20-30",D239&lt;=40,"31-40",D239&lt;=50,"41-50",D239&lt;=60,"51-60",TRUE,"60+")</f>
        <v>20-30</v>
      </c>
      <c r="M239" t="str">
        <f>_xlfn.IFS(K239&lt;500,"Low Spend",K239&lt;=2000,"Medium Spend",K239&lt;=5000,"High Spend",TRUE,"Premium Spend")</f>
        <v>Low Spend</v>
      </c>
      <c r="N239" t="str">
        <f>_xlfn.IFS(F239=1,"1 Item",F239&lt;=3,"2-3 Items",F239&lt;=5,"4-5 Items",TRUE,"6+ Items")</f>
        <v>1 Item</v>
      </c>
      <c r="O239" t="str">
        <f>TEXT(I239,"mmm")</f>
        <v>Jan</v>
      </c>
      <c r="P239">
        <f>MONTH(I239)</f>
        <v>1</v>
      </c>
      <c r="Q239">
        <f>YEAR(I239)</f>
        <v>2023</v>
      </c>
      <c r="R239" t="str">
        <f>IF(K239&gt;=5000,"High Value","Regular")</f>
        <v>Regular</v>
      </c>
      <c r="S239" t="str">
        <f>IF(F239&gt;=4,"Bulk Order","Normal Order")</f>
        <v>Normal Order</v>
      </c>
    </row>
    <row r="240" spans="1:19" x14ac:dyDescent="0.3">
      <c r="A240" t="s">
        <v>544</v>
      </c>
      <c r="B240" t="s">
        <v>543</v>
      </c>
      <c r="C240" t="s">
        <v>3</v>
      </c>
      <c r="D240">
        <v>44</v>
      </c>
      <c r="E240" t="s">
        <v>31</v>
      </c>
      <c r="F240">
        <v>2</v>
      </c>
      <c r="G240">
        <v>1200.3399999999999</v>
      </c>
      <c r="H240" t="s">
        <v>1</v>
      </c>
      <c r="I240" s="1">
        <v>44938</v>
      </c>
      <c r="J240" t="s">
        <v>28</v>
      </c>
      <c r="K240">
        <f>F240*G240</f>
        <v>2400.6799999999998</v>
      </c>
      <c r="L240" t="str">
        <f>_xlfn.IFS(D240&lt;20,"Below 20",D240&lt;=30,"20-30",D240&lt;=40,"31-40",D240&lt;=50,"41-50",D240&lt;=60,"51-60",TRUE,"60+")</f>
        <v>41-50</v>
      </c>
      <c r="M240" t="str">
        <f>_xlfn.IFS(K240&lt;500,"Low Spend",K240&lt;=2000,"Medium Spend",K240&lt;=5000,"High Spend",TRUE,"Premium Spend")</f>
        <v>High Spend</v>
      </c>
      <c r="N240" t="str">
        <f>_xlfn.IFS(F240=1,"1 Item",F240&lt;=3,"2-3 Items",F240&lt;=5,"4-5 Items",TRUE,"6+ Items")</f>
        <v>2-3 Items</v>
      </c>
      <c r="O240" t="str">
        <f>TEXT(I240,"mmm")</f>
        <v>Jan</v>
      </c>
      <c r="P240">
        <f>MONTH(I240)</f>
        <v>1</v>
      </c>
      <c r="Q240">
        <f>YEAR(I240)</f>
        <v>2023</v>
      </c>
      <c r="R240" t="str">
        <f>IF(K240&gt;=5000,"High Value","Regular")</f>
        <v>Regular</v>
      </c>
      <c r="S240" t="str">
        <f>IF(F240&gt;=4,"Bulk Order","Normal Order")</f>
        <v>Normal Order</v>
      </c>
    </row>
    <row r="241" spans="1:19" x14ac:dyDescent="0.3">
      <c r="A241" t="s">
        <v>542</v>
      </c>
      <c r="B241" t="s">
        <v>541</v>
      </c>
      <c r="C241" t="s">
        <v>3</v>
      </c>
      <c r="D241">
        <v>20</v>
      </c>
      <c r="E241" t="s">
        <v>31</v>
      </c>
      <c r="F241">
        <v>3</v>
      </c>
      <c r="G241">
        <v>1800.51</v>
      </c>
      <c r="H241" t="s">
        <v>1</v>
      </c>
      <c r="I241" s="1">
        <v>44870</v>
      </c>
      <c r="J241" t="s">
        <v>28</v>
      </c>
      <c r="K241">
        <f>F241*G241</f>
        <v>5401.53</v>
      </c>
      <c r="L241" t="str">
        <f>_xlfn.IFS(D241&lt;20,"Below 20",D241&lt;=30,"20-30",D241&lt;=40,"31-40",D241&lt;=50,"41-50",D241&lt;=60,"51-60",TRUE,"60+")</f>
        <v>20-30</v>
      </c>
      <c r="M241" t="str">
        <f>_xlfn.IFS(K241&lt;500,"Low Spend",K241&lt;=2000,"Medium Spend",K241&lt;=5000,"High Spend",TRUE,"Premium Spend")</f>
        <v>Premium Spend</v>
      </c>
      <c r="N241" t="str">
        <f>_xlfn.IFS(F241=1,"1 Item",F241&lt;=3,"2-3 Items",F241&lt;=5,"4-5 Items",TRUE,"6+ Items")</f>
        <v>2-3 Items</v>
      </c>
      <c r="O241" t="str">
        <f>TEXT(I241,"mmm")</f>
        <v>Nov</v>
      </c>
      <c r="P241">
        <f>MONTH(I241)</f>
        <v>11</v>
      </c>
      <c r="Q241">
        <f>YEAR(I241)</f>
        <v>2022</v>
      </c>
      <c r="R241" t="str">
        <f>IF(K241&gt;=5000,"High Value","Regular")</f>
        <v>High Value</v>
      </c>
      <c r="S241" t="str">
        <f>IF(F241&gt;=4,"Bulk Order","Normal Order")</f>
        <v>Normal Order</v>
      </c>
    </row>
    <row r="242" spans="1:19" x14ac:dyDescent="0.3">
      <c r="A242" t="s">
        <v>540</v>
      </c>
      <c r="B242" t="s">
        <v>539</v>
      </c>
      <c r="C242" t="s">
        <v>3</v>
      </c>
      <c r="D242">
        <v>59</v>
      </c>
      <c r="E242" t="s">
        <v>31</v>
      </c>
      <c r="F242">
        <v>2</v>
      </c>
      <c r="G242">
        <v>1200.3399999999999</v>
      </c>
      <c r="H242" t="s">
        <v>15</v>
      </c>
      <c r="I242" s="1">
        <v>44400</v>
      </c>
      <c r="J242" t="s">
        <v>11</v>
      </c>
      <c r="K242">
        <f>F242*G242</f>
        <v>2400.6799999999998</v>
      </c>
      <c r="L242" t="str">
        <f>_xlfn.IFS(D242&lt;20,"Below 20",D242&lt;=30,"20-30",D242&lt;=40,"31-40",D242&lt;=50,"41-50",D242&lt;=60,"51-60",TRUE,"60+")</f>
        <v>51-60</v>
      </c>
      <c r="M242" t="str">
        <f>_xlfn.IFS(K242&lt;500,"Low Spend",K242&lt;=2000,"Medium Spend",K242&lt;=5000,"High Spend",TRUE,"Premium Spend")</f>
        <v>High Spend</v>
      </c>
      <c r="N242" t="str">
        <f>_xlfn.IFS(F242=1,"1 Item",F242&lt;=3,"2-3 Items",F242&lt;=5,"4-5 Items",TRUE,"6+ Items")</f>
        <v>2-3 Items</v>
      </c>
      <c r="O242" t="str">
        <f>TEXT(I242,"mmm")</f>
        <v>Jul</v>
      </c>
      <c r="P242">
        <f>MONTH(I242)</f>
        <v>7</v>
      </c>
      <c r="Q242">
        <f>YEAR(I242)</f>
        <v>2021</v>
      </c>
      <c r="R242" t="str">
        <f>IF(K242&gt;=5000,"High Value","Regular")</f>
        <v>Regular</v>
      </c>
      <c r="S242" t="str">
        <f>IF(F242&gt;=4,"Bulk Order","Normal Order")</f>
        <v>Normal Order</v>
      </c>
    </row>
    <row r="243" spans="1:19" x14ac:dyDescent="0.3">
      <c r="A243" t="s">
        <v>538</v>
      </c>
      <c r="B243" t="s">
        <v>537</v>
      </c>
      <c r="C243" t="s">
        <v>3</v>
      </c>
      <c r="D243">
        <v>23</v>
      </c>
      <c r="E243" t="s">
        <v>8</v>
      </c>
      <c r="F243">
        <v>4</v>
      </c>
      <c r="G243">
        <v>1200.32</v>
      </c>
      <c r="H243" t="s">
        <v>1</v>
      </c>
      <c r="I243" s="1">
        <v>44742</v>
      </c>
      <c r="J243" t="s">
        <v>68</v>
      </c>
      <c r="K243">
        <f>F243*G243</f>
        <v>4801.28</v>
      </c>
      <c r="L243" t="str">
        <f>_xlfn.IFS(D243&lt;20,"Below 20",D243&lt;=30,"20-30",D243&lt;=40,"31-40",D243&lt;=50,"41-50",D243&lt;=60,"51-60",TRUE,"60+")</f>
        <v>20-30</v>
      </c>
      <c r="M243" t="str">
        <f>_xlfn.IFS(K243&lt;500,"Low Spend",K243&lt;=2000,"Medium Spend",K243&lt;=5000,"High Spend",TRUE,"Premium Spend")</f>
        <v>High Spend</v>
      </c>
      <c r="N243" t="str">
        <f>_xlfn.IFS(F243=1,"1 Item",F243&lt;=3,"2-3 Items",F243&lt;=5,"4-5 Items",TRUE,"6+ Items")</f>
        <v>4-5 Items</v>
      </c>
      <c r="O243" t="str">
        <f>TEXT(I243,"mmm")</f>
        <v>Jun</v>
      </c>
      <c r="P243">
        <f>MONTH(I243)</f>
        <v>6</v>
      </c>
      <c r="Q243">
        <f>YEAR(I243)</f>
        <v>2022</v>
      </c>
      <c r="R243" t="str">
        <f>IF(K243&gt;=5000,"High Value","Regular")</f>
        <v>Regular</v>
      </c>
      <c r="S243" t="str">
        <f>IF(F243&gt;=4,"Bulk Order","Normal Order")</f>
        <v>Bulk Order</v>
      </c>
    </row>
    <row r="244" spans="1:19" x14ac:dyDescent="0.3">
      <c r="A244" t="s">
        <v>536</v>
      </c>
      <c r="B244" t="s">
        <v>535</v>
      </c>
      <c r="C244" t="s">
        <v>3</v>
      </c>
      <c r="D244">
        <v>25</v>
      </c>
      <c r="E244" t="s">
        <v>8</v>
      </c>
      <c r="F244">
        <v>1</v>
      </c>
      <c r="G244">
        <v>300.08</v>
      </c>
      <c r="H244" t="s">
        <v>1</v>
      </c>
      <c r="I244" s="1">
        <v>44866</v>
      </c>
      <c r="J244" t="s">
        <v>38</v>
      </c>
      <c r="K244">
        <f>F244*G244</f>
        <v>300.08</v>
      </c>
      <c r="L244" t="str">
        <f>_xlfn.IFS(D244&lt;20,"Below 20",D244&lt;=30,"20-30",D244&lt;=40,"31-40",D244&lt;=50,"41-50",D244&lt;=60,"51-60",TRUE,"60+")</f>
        <v>20-30</v>
      </c>
      <c r="M244" t="str">
        <f>_xlfn.IFS(K244&lt;500,"Low Spend",K244&lt;=2000,"Medium Spend",K244&lt;=5000,"High Spend",TRUE,"Premium Spend")</f>
        <v>Low Spend</v>
      </c>
      <c r="N244" t="str">
        <f>_xlfn.IFS(F244=1,"1 Item",F244&lt;=3,"2-3 Items",F244&lt;=5,"4-5 Items",TRUE,"6+ Items")</f>
        <v>1 Item</v>
      </c>
      <c r="O244" t="str">
        <f>TEXT(I244,"mmm")</f>
        <v>Nov</v>
      </c>
      <c r="P244">
        <f>MONTH(I244)</f>
        <v>11</v>
      </c>
      <c r="Q244">
        <f>YEAR(I244)</f>
        <v>2022</v>
      </c>
      <c r="R244" t="str">
        <f>IF(K244&gt;=5000,"High Value","Regular")</f>
        <v>Regular</v>
      </c>
      <c r="S244" t="str">
        <f>IF(F244&gt;=4,"Bulk Order","Normal Order")</f>
        <v>Normal Order</v>
      </c>
    </row>
    <row r="245" spans="1:19" x14ac:dyDescent="0.3">
      <c r="A245" t="s">
        <v>534</v>
      </c>
      <c r="B245" t="s">
        <v>533</v>
      </c>
      <c r="C245" t="s">
        <v>12</v>
      </c>
      <c r="D245">
        <v>63</v>
      </c>
      <c r="E245" t="s">
        <v>31</v>
      </c>
      <c r="F245">
        <v>1</v>
      </c>
      <c r="G245">
        <v>600.16999999999996</v>
      </c>
      <c r="H245" t="s">
        <v>15</v>
      </c>
      <c r="I245" s="1">
        <v>44861</v>
      </c>
      <c r="J245" t="s">
        <v>28</v>
      </c>
      <c r="K245">
        <f>F245*G245</f>
        <v>600.16999999999996</v>
      </c>
      <c r="L245" t="str">
        <f>_xlfn.IFS(D245&lt;20,"Below 20",D245&lt;=30,"20-30",D245&lt;=40,"31-40",D245&lt;=50,"41-50",D245&lt;=60,"51-60",TRUE,"60+")</f>
        <v>60+</v>
      </c>
      <c r="M245" t="str">
        <f>_xlfn.IFS(K245&lt;500,"Low Spend",K245&lt;=2000,"Medium Spend",K245&lt;=5000,"High Spend",TRUE,"Premium Spend")</f>
        <v>Medium Spend</v>
      </c>
      <c r="N245" t="str">
        <f>_xlfn.IFS(F245=1,"1 Item",F245&lt;=3,"2-3 Items",F245&lt;=5,"4-5 Items",TRUE,"6+ Items")</f>
        <v>1 Item</v>
      </c>
      <c r="O245" t="str">
        <f>TEXT(I245,"mmm")</f>
        <v>Oct</v>
      </c>
      <c r="P245">
        <f>MONTH(I245)</f>
        <v>10</v>
      </c>
      <c r="Q245">
        <f>YEAR(I245)</f>
        <v>2022</v>
      </c>
      <c r="R245" t="str">
        <f>IF(K245&gt;=5000,"High Value","Regular")</f>
        <v>Regular</v>
      </c>
      <c r="S245" t="str">
        <f>IF(F245&gt;=4,"Bulk Order","Normal Order")</f>
        <v>Normal Order</v>
      </c>
    </row>
    <row r="246" spans="1:19" x14ac:dyDescent="0.3">
      <c r="A246" t="s">
        <v>532</v>
      </c>
      <c r="B246" t="s">
        <v>531</v>
      </c>
      <c r="C246" t="s">
        <v>12</v>
      </c>
      <c r="D246">
        <v>21</v>
      </c>
      <c r="E246" t="s">
        <v>8</v>
      </c>
      <c r="F246">
        <v>5</v>
      </c>
      <c r="G246">
        <v>1500.4</v>
      </c>
      <c r="H246" t="s">
        <v>7</v>
      </c>
      <c r="I246" s="1">
        <v>44794</v>
      </c>
      <c r="J246" t="s">
        <v>28</v>
      </c>
      <c r="K246">
        <f>F246*G246</f>
        <v>7502</v>
      </c>
      <c r="L246" t="str">
        <f>_xlfn.IFS(D246&lt;20,"Below 20",D246&lt;=30,"20-30",D246&lt;=40,"31-40",D246&lt;=50,"41-50",D246&lt;=60,"51-60",TRUE,"60+")</f>
        <v>20-30</v>
      </c>
      <c r="M246" t="str">
        <f>_xlfn.IFS(K246&lt;500,"Low Spend",K246&lt;=2000,"Medium Spend",K246&lt;=5000,"High Spend",TRUE,"Premium Spend")</f>
        <v>Premium Spend</v>
      </c>
      <c r="N246" t="str">
        <f>_xlfn.IFS(F246=1,"1 Item",F246&lt;=3,"2-3 Items",F246&lt;=5,"4-5 Items",TRUE,"6+ Items")</f>
        <v>4-5 Items</v>
      </c>
      <c r="O246" t="str">
        <f>TEXT(I246,"mmm")</f>
        <v>Aug</v>
      </c>
      <c r="P246">
        <f>MONTH(I246)</f>
        <v>8</v>
      </c>
      <c r="Q246">
        <f>YEAR(I246)</f>
        <v>2022</v>
      </c>
      <c r="R246" t="str">
        <f>IF(K246&gt;=5000,"High Value","Regular")</f>
        <v>High Value</v>
      </c>
      <c r="S246" t="str">
        <f>IF(F246&gt;=4,"Bulk Order","Normal Order")</f>
        <v>Bulk Order</v>
      </c>
    </row>
    <row r="247" spans="1:19" x14ac:dyDescent="0.3">
      <c r="A247" t="s">
        <v>530</v>
      </c>
      <c r="B247" t="s">
        <v>529</v>
      </c>
      <c r="C247" t="s">
        <v>3</v>
      </c>
      <c r="D247">
        <v>56</v>
      </c>
      <c r="E247" t="s">
        <v>8</v>
      </c>
      <c r="F247">
        <v>3</v>
      </c>
      <c r="G247">
        <v>900.24</v>
      </c>
      <c r="H247" t="s">
        <v>1</v>
      </c>
      <c r="I247" s="1">
        <v>44268</v>
      </c>
      <c r="J247" t="s">
        <v>102</v>
      </c>
      <c r="K247">
        <f>F247*G247</f>
        <v>2700.7200000000003</v>
      </c>
      <c r="L247" t="str">
        <f>_xlfn.IFS(D247&lt;20,"Below 20",D247&lt;=30,"20-30",D247&lt;=40,"31-40",D247&lt;=50,"41-50",D247&lt;=60,"51-60",TRUE,"60+")</f>
        <v>51-60</v>
      </c>
      <c r="M247" t="str">
        <f>_xlfn.IFS(K247&lt;500,"Low Spend",K247&lt;=2000,"Medium Spend",K247&lt;=5000,"High Spend",TRUE,"Premium Spend")</f>
        <v>High Spend</v>
      </c>
      <c r="N247" t="str">
        <f>_xlfn.IFS(F247=1,"1 Item",F247&lt;=3,"2-3 Items",F247&lt;=5,"4-5 Items",TRUE,"6+ Items")</f>
        <v>2-3 Items</v>
      </c>
      <c r="O247" t="str">
        <f>TEXT(I247,"mmm")</f>
        <v>Mar</v>
      </c>
      <c r="P247">
        <f>MONTH(I247)</f>
        <v>3</v>
      </c>
      <c r="Q247">
        <f>YEAR(I247)</f>
        <v>2021</v>
      </c>
      <c r="R247" t="str">
        <f>IF(K247&gt;=5000,"High Value","Regular")</f>
        <v>Regular</v>
      </c>
      <c r="S247" t="str">
        <f>IF(F247&gt;=4,"Bulk Order","Normal Order")</f>
        <v>Normal Order</v>
      </c>
    </row>
    <row r="248" spans="1:19" x14ac:dyDescent="0.3">
      <c r="A248" t="s">
        <v>528</v>
      </c>
      <c r="B248" t="s">
        <v>527</v>
      </c>
      <c r="C248" t="s">
        <v>12</v>
      </c>
      <c r="D248">
        <v>39</v>
      </c>
      <c r="E248" t="s">
        <v>19</v>
      </c>
      <c r="F248">
        <v>2</v>
      </c>
      <c r="G248">
        <v>81.319999999999993</v>
      </c>
      <c r="H248" t="s">
        <v>1</v>
      </c>
      <c r="I248" s="1">
        <v>44777</v>
      </c>
      <c r="J248" t="s">
        <v>28</v>
      </c>
      <c r="K248">
        <f>F248*G248</f>
        <v>162.63999999999999</v>
      </c>
      <c r="L248" t="str">
        <f>_xlfn.IFS(D248&lt;20,"Below 20",D248&lt;=30,"20-30",D248&lt;=40,"31-40",D248&lt;=50,"41-50",D248&lt;=60,"51-60",TRUE,"60+")</f>
        <v>31-40</v>
      </c>
      <c r="M248" t="str">
        <f>_xlfn.IFS(K248&lt;500,"Low Spend",K248&lt;=2000,"Medium Spend",K248&lt;=5000,"High Spend",TRUE,"Premium Spend")</f>
        <v>Low Spend</v>
      </c>
      <c r="N248" t="str">
        <f>_xlfn.IFS(F248=1,"1 Item",F248&lt;=3,"2-3 Items",F248&lt;=5,"4-5 Items",TRUE,"6+ Items")</f>
        <v>2-3 Items</v>
      </c>
      <c r="O248" t="str">
        <f>TEXT(I248,"mmm")</f>
        <v>Aug</v>
      </c>
      <c r="P248">
        <f>MONTH(I248)</f>
        <v>8</v>
      </c>
      <c r="Q248">
        <f>YEAR(I248)</f>
        <v>2022</v>
      </c>
      <c r="R248" t="str">
        <f>IF(K248&gt;=5000,"High Value","Regular")</f>
        <v>Regular</v>
      </c>
      <c r="S248" t="str">
        <f>IF(F248&gt;=4,"Bulk Order","Normal Order")</f>
        <v>Normal Order</v>
      </c>
    </row>
    <row r="249" spans="1:19" x14ac:dyDescent="0.3">
      <c r="A249" t="s">
        <v>526</v>
      </c>
      <c r="B249" t="s">
        <v>525</v>
      </c>
      <c r="C249" t="s">
        <v>12</v>
      </c>
      <c r="D249">
        <v>50</v>
      </c>
      <c r="E249" t="s">
        <v>16</v>
      </c>
      <c r="F249">
        <v>2</v>
      </c>
      <c r="G249">
        <v>10.46</v>
      </c>
      <c r="H249" t="s">
        <v>1</v>
      </c>
      <c r="I249" s="1">
        <v>44287</v>
      </c>
      <c r="J249" t="s">
        <v>22</v>
      </c>
      <c r="K249">
        <f>F249*G249</f>
        <v>20.92</v>
      </c>
      <c r="L249" t="str">
        <f>_xlfn.IFS(D249&lt;20,"Below 20",D249&lt;=30,"20-30",D249&lt;=40,"31-40",D249&lt;=50,"41-50",D249&lt;=60,"51-60",TRUE,"60+")</f>
        <v>41-50</v>
      </c>
      <c r="M249" t="str">
        <f>_xlfn.IFS(K249&lt;500,"Low Spend",K249&lt;=2000,"Medium Spend",K249&lt;=5000,"High Spend",TRUE,"Premium Spend")</f>
        <v>Low Spend</v>
      </c>
      <c r="N249" t="str">
        <f>_xlfn.IFS(F249=1,"1 Item",F249&lt;=3,"2-3 Items",F249&lt;=5,"4-5 Items",TRUE,"6+ Items")</f>
        <v>2-3 Items</v>
      </c>
      <c r="O249" t="str">
        <f>TEXT(I249,"mmm")</f>
        <v>Apr</v>
      </c>
      <c r="P249">
        <f>MONTH(I249)</f>
        <v>4</v>
      </c>
      <c r="Q249">
        <f>YEAR(I249)</f>
        <v>2021</v>
      </c>
      <c r="R249" t="str">
        <f>IF(K249&gt;=5000,"High Value","Regular")</f>
        <v>Regular</v>
      </c>
      <c r="S249" t="str">
        <f>IF(F249&gt;=4,"Bulk Order","Normal Order")</f>
        <v>Normal Order</v>
      </c>
    </row>
    <row r="250" spans="1:19" x14ac:dyDescent="0.3">
      <c r="A250" t="s">
        <v>524</v>
      </c>
      <c r="B250" t="s">
        <v>523</v>
      </c>
      <c r="C250" t="s">
        <v>3</v>
      </c>
      <c r="D250">
        <v>54</v>
      </c>
      <c r="E250" t="s">
        <v>31</v>
      </c>
      <c r="F250">
        <v>4</v>
      </c>
      <c r="G250">
        <v>2400.6799999999998</v>
      </c>
      <c r="H250" t="s">
        <v>7</v>
      </c>
      <c r="I250" s="1">
        <v>44416</v>
      </c>
      <c r="J250" t="s">
        <v>22</v>
      </c>
      <c r="K250">
        <f>F250*G250</f>
        <v>9602.7199999999993</v>
      </c>
      <c r="L250" t="str">
        <f>_xlfn.IFS(D250&lt;20,"Below 20",D250&lt;=30,"20-30",D250&lt;=40,"31-40",D250&lt;=50,"41-50",D250&lt;=60,"51-60",TRUE,"60+")</f>
        <v>51-60</v>
      </c>
      <c r="M250" t="str">
        <f>_xlfn.IFS(K250&lt;500,"Low Spend",K250&lt;=2000,"Medium Spend",K250&lt;=5000,"High Spend",TRUE,"Premium Spend")</f>
        <v>Premium Spend</v>
      </c>
      <c r="N250" t="str">
        <f>_xlfn.IFS(F250=1,"1 Item",F250&lt;=3,"2-3 Items",F250&lt;=5,"4-5 Items",TRUE,"6+ Items")</f>
        <v>4-5 Items</v>
      </c>
      <c r="O250" t="str">
        <f>TEXT(I250,"mmm")</f>
        <v>Aug</v>
      </c>
      <c r="P250">
        <f>MONTH(I250)</f>
        <v>8</v>
      </c>
      <c r="Q250">
        <f>YEAR(I250)</f>
        <v>2021</v>
      </c>
      <c r="R250" t="str">
        <f>IF(K250&gt;=5000,"High Value","Regular")</f>
        <v>High Value</v>
      </c>
      <c r="S250" t="str">
        <f>IF(F250&gt;=4,"Bulk Order","Normal Order")</f>
        <v>Bulk Order</v>
      </c>
    </row>
    <row r="251" spans="1:19" x14ac:dyDescent="0.3">
      <c r="A251" t="s">
        <v>522</v>
      </c>
      <c r="B251" t="s">
        <v>521</v>
      </c>
      <c r="C251" t="s">
        <v>12</v>
      </c>
      <c r="D251">
        <v>27</v>
      </c>
      <c r="E251" t="s">
        <v>112</v>
      </c>
      <c r="F251">
        <v>3</v>
      </c>
      <c r="G251">
        <v>3150</v>
      </c>
      <c r="H251" t="s">
        <v>1</v>
      </c>
      <c r="I251" s="1">
        <v>44375</v>
      </c>
      <c r="J251" t="s">
        <v>6</v>
      </c>
      <c r="K251">
        <f>F251*G251</f>
        <v>9450</v>
      </c>
      <c r="L251" t="str">
        <f>_xlfn.IFS(D251&lt;20,"Below 20",D251&lt;=30,"20-30",D251&lt;=40,"31-40",D251&lt;=50,"41-50",D251&lt;=60,"51-60",TRUE,"60+")</f>
        <v>20-30</v>
      </c>
      <c r="M251" t="str">
        <f>_xlfn.IFS(K251&lt;500,"Low Spend",K251&lt;=2000,"Medium Spend",K251&lt;=5000,"High Spend",TRUE,"Premium Spend")</f>
        <v>Premium Spend</v>
      </c>
      <c r="N251" t="str">
        <f>_xlfn.IFS(F251=1,"1 Item",F251&lt;=3,"2-3 Items",F251&lt;=5,"4-5 Items",TRUE,"6+ Items")</f>
        <v>2-3 Items</v>
      </c>
      <c r="O251" t="str">
        <f>TEXT(I251,"mmm")</f>
        <v>Jun</v>
      </c>
      <c r="P251">
        <f>MONTH(I251)</f>
        <v>6</v>
      </c>
      <c r="Q251">
        <f>YEAR(I251)</f>
        <v>2021</v>
      </c>
      <c r="R251" t="str">
        <f>IF(K251&gt;=5000,"High Value","Regular")</f>
        <v>High Value</v>
      </c>
      <c r="S251" t="str">
        <f>IF(F251&gt;=4,"Bulk Order","Normal Order")</f>
        <v>Normal Order</v>
      </c>
    </row>
    <row r="252" spans="1:19" x14ac:dyDescent="0.3">
      <c r="A252" t="s">
        <v>520</v>
      </c>
      <c r="B252" t="s">
        <v>519</v>
      </c>
      <c r="C252" t="s">
        <v>12</v>
      </c>
      <c r="D252">
        <v>56</v>
      </c>
      <c r="E252" t="s">
        <v>8</v>
      </c>
      <c r="F252">
        <v>5</v>
      </c>
      <c r="G252">
        <v>1500.4</v>
      </c>
      <c r="H252" t="s">
        <v>1</v>
      </c>
      <c r="I252" s="1">
        <v>44221</v>
      </c>
      <c r="J252" t="s">
        <v>38</v>
      </c>
      <c r="K252">
        <f>F252*G252</f>
        <v>7502</v>
      </c>
      <c r="L252" t="str">
        <f>_xlfn.IFS(D252&lt;20,"Below 20",D252&lt;=30,"20-30",D252&lt;=40,"31-40",D252&lt;=50,"41-50",D252&lt;=60,"51-60",TRUE,"60+")</f>
        <v>51-60</v>
      </c>
      <c r="M252" t="str">
        <f>_xlfn.IFS(K252&lt;500,"Low Spend",K252&lt;=2000,"Medium Spend",K252&lt;=5000,"High Spend",TRUE,"Premium Spend")</f>
        <v>Premium Spend</v>
      </c>
      <c r="N252" t="str">
        <f>_xlfn.IFS(F252=1,"1 Item",F252&lt;=3,"2-3 Items",F252&lt;=5,"4-5 Items",TRUE,"6+ Items")</f>
        <v>4-5 Items</v>
      </c>
      <c r="O252" t="str">
        <f>TEXT(I252,"mmm")</f>
        <v>Jan</v>
      </c>
      <c r="P252">
        <f>MONTH(I252)</f>
        <v>1</v>
      </c>
      <c r="Q252">
        <f>YEAR(I252)</f>
        <v>2021</v>
      </c>
      <c r="R252" t="str">
        <f>IF(K252&gt;=5000,"High Value","Regular")</f>
        <v>High Value</v>
      </c>
      <c r="S252" t="str">
        <f>IF(F252&gt;=4,"Bulk Order","Normal Order")</f>
        <v>Bulk Order</v>
      </c>
    </row>
    <row r="253" spans="1:19" x14ac:dyDescent="0.3">
      <c r="A253" t="s">
        <v>518</v>
      </c>
      <c r="B253" t="s">
        <v>517</v>
      </c>
      <c r="C253" t="s">
        <v>3</v>
      </c>
      <c r="D253">
        <v>53</v>
      </c>
      <c r="E253" t="s">
        <v>8</v>
      </c>
      <c r="F253">
        <v>4</v>
      </c>
      <c r="G253">
        <v>1200.32</v>
      </c>
      <c r="H253" t="s">
        <v>15</v>
      </c>
      <c r="I253" s="1">
        <v>44522</v>
      </c>
      <c r="J253" t="s">
        <v>68</v>
      </c>
      <c r="K253">
        <f>F253*G253</f>
        <v>4801.28</v>
      </c>
      <c r="L253" t="str">
        <f>_xlfn.IFS(D253&lt;20,"Below 20",D253&lt;=30,"20-30",D253&lt;=40,"31-40",D253&lt;=50,"41-50",D253&lt;=60,"51-60",TRUE,"60+")</f>
        <v>51-60</v>
      </c>
      <c r="M253" t="str">
        <f>_xlfn.IFS(K253&lt;500,"Low Spend",K253&lt;=2000,"Medium Spend",K253&lt;=5000,"High Spend",TRUE,"Premium Spend")</f>
        <v>High Spend</v>
      </c>
      <c r="N253" t="str">
        <f>_xlfn.IFS(F253=1,"1 Item",F253&lt;=3,"2-3 Items",F253&lt;=5,"4-5 Items",TRUE,"6+ Items")</f>
        <v>4-5 Items</v>
      </c>
      <c r="O253" t="str">
        <f>TEXT(I253,"mmm")</f>
        <v>Nov</v>
      </c>
      <c r="P253">
        <f>MONTH(I253)</f>
        <v>11</v>
      </c>
      <c r="Q253">
        <f>YEAR(I253)</f>
        <v>2021</v>
      </c>
      <c r="R253" t="str">
        <f>IF(K253&gt;=5000,"High Value","Regular")</f>
        <v>Regular</v>
      </c>
      <c r="S253" t="str">
        <f>IF(F253&gt;=4,"Bulk Order","Normal Order")</f>
        <v>Bulk Order</v>
      </c>
    </row>
    <row r="254" spans="1:19" x14ac:dyDescent="0.3">
      <c r="A254" t="s">
        <v>516</v>
      </c>
      <c r="B254" t="s">
        <v>515</v>
      </c>
      <c r="C254" t="s">
        <v>3</v>
      </c>
      <c r="D254">
        <v>62</v>
      </c>
      <c r="E254" t="s">
        <v>19</v>
      </c>
      <c r="F254">
        <v>3</v>
      </c>
      <c r="G254">
        <v>121.98</v>
      </c>
      <c r="H254" t="s">
        <v>1</v>
      </c>
      <c r="I254" s="1">
        <v>44878</v>
      </c>
      <c r="J254" t="s">
        <v>6</v>
      </c>
      <c r="K254">
        <f>F254*G254</f>
        <v>365.94</v>
      </c>
      <c r="L254" t="str">
        <f>_xlfn.IFS(D254&lt;20,"Below 20",D254&lt;=30,"20-30",D254&lt;=40,"31-40",D254&lt;=50,"41-50",D254&lt;=60,"51-60",TRUE,"60+")</f>
        <v>60+</v>
      </c>
      <c r="M254" t="str">
        <f>_xlfn.IFS(K254&lt;500,"Low Spend",K254&lt;=2000,"Medium Spend",K254&lt;=5000,"High Spend",TRUE,"Premium Spend")</f>
        <v>Low Spend</v>
      </c>
      <c r="N254" t="str">
        <f>_xlfn.IFS(F254=1,"1 Item",F254&lt;=3,"2-3 Items",F254&lt;=5,"4-5 Items",TRUE,"6+ Items")</f>
        <v>2-3 Items</v>
      </c>
      <c r="O254" t="str">
        <f>TEXT(I254,"mmm")</f>
        <v>Nov</v>
      </c>
      <c r="P254">
        <f>MONTH(I254)</f>
        <v>11</v>
      </c>
      <c r="Q254">
        <f>YEAR(I254)</f>
        <v>2022</v>
      </c>
      <c r="R254" t="str">
        <f>IF(K254&gt;=5000,"High Value","Regular")</f>
        <v>Regular</v>
      </c>
      <c r="S254" t="str">
        <f>IF(F254&gt;=4,"Bulk Order","Normal Order")</f>
        <v>Normal Order</v>
      </c>
    </row>
    <row r="255" spans="1:19" x14ac:dyDescent="0.3">
      <c r="A255" t="s">
        <v>514</v>
      </c>
      <c r="B255" t="s">
        <v>513</v>
      </c>
      <c r="C255" t="s">
        <v>3</v>
      </c>
      <c r="D255">
        <v>42</v>
      </c>
      <c r="E255" t="s">
        <v>8</v>
      </c>
      <c r="F255">
        <v>4</v>
      </c>
      <c r="G255">
        <v>1200.32</v>
      </c>
      <c r="H255" t="s">
        <v>1</v>
      </c>
      <c r="I255" s="1">
        <v>44785</v>
      </c>
      <c r="J255" t="s">
        <v>28</v>
      </c>
      <c r="K255">
        <f>F255*G255</f>
        <v>4801.28</v>
      </c>
      <c r="L255" t="str">
        <f>_xlfn.IFS(D255&lt;20,"Below 20",D255&lt;=30,"20-30",D255&lt;=40,"31-40",D255&lt;=50,"41-50",D255&lt;=60,"51-60",TRUE,"60+")</f>
        <v>41-50</v>
      </c>
      <c r="M255" t="str">
        <f>_xlfn.IFS(K255&lt;500,"Low Spend",K255&lt;=2000,"Medium Spend",K255&lt;=5000,"High Spend",TRUE,"Premium Spend")</f>
        <v>High Spend</v>
      </c>
      <c r="N255" t="str">
        <f>_xlfn.IFS(F255=1,"1 Item",F255&lt;=3,"2-3 Items",F255&lt;=5,"4-5 Items",TRUE,"6+ Items")</f>
        <v>4-5 Items</v>
      </c>
      <c r="O255" t="str">
        <f>TEXT(I255,"mmm")</f>
        <v>Aug</v>
      </c>
      <c r="P255">
        <f>MONTH(I255)</f>
        <v>8</v>
      </c>
      <c r="Q255">
        <f>YEAR(I255)</f>
        <v>2022</v>
      </c>
      <c r="R255" t="str">
        <f>IF(K255&gt;=5000,"High Value","Regular")</f>
        <v>Regular</v>
      </c>
      <c r="S255" t="str">
        <f>IF(F255&gt;=4,"Bulk Order","Normal Order")</f>
        <v>Bulk Order</v>
      </c>
    </row>
    <row r="256" spans="1:19" x14ac:dyDescent="0.3">
      <c r="A256" t="s">
        <v>512</v>
      </c>
      <c r="B256" t="s">
        <v>511</v>
      </c>
      <c r="C256" t="s">
        <v>3</v>
      </c>
      <c r="D256">
        <v>68</v>
      </c>
      <c r="E256" t="s">
        <v>2</v>
      </c>
      <c r="F256">
        <v>2</v>
      </c>
      <c r="G256">
        <v>71.680000000000007</v>
      </c>
      <c r="H256" t="s">
        <v>1</v>
      </c>
      <c r="I256" s="1">
        <v>44822</v>
      </c>
      <c r="J256" t="s">
        <v>11</v>
      </c>
      <c r="K256">
        <f>F256*G256</f>
        <v>143.36000000000001</v>
      </c>
      <c r="L256" t="str">
        <f>_xlfn.IFS(D256&lt;20,"Below 20",D256&lt;=30,"20-30",D256&lt;=40,"31-40",D256&lt;=50,"41-50",D256&lt;=60,"51-60",TRUE,"60+")</f>
        <v>60+</v>
      </c>
      <c r="M256" t="str">
        <f>_xlfn.IFS(K256&lt;500,"Low Spend",K256&lt;=2000,"Medium Spend",K256&lt;=5000,"High Spend",TRUE,"Premium Spend")</f>
        <v>Low Spend</v>
      </c>
      <c r="N256" t="str">
        <f>_xlfn.IFS(F256=1,"1 Item",F256&lt;=3,"2-3 Items",F256&lt;=5,"4-5 Items",TRUE,"6+ Items")</f>
        <v>2-3 Items</v>
      </c>
      <c r="O256" t="str">
        <f>TEXT(I256,"mmm")</f>
        <v>Sep</v>
      </c>
      <c r="P256">
        <f>MONTH(I256)</f>
        <v>9</v>
      </c>
      <c r="Q256">
        <f>YEAR(I256)</f>
        <v>2022</v>
      </c>
      <c r="R256" t="str">
        <f>IF(K256&gt;=5000,"High Value","Regular")</f>
        <v>Regular</v>
      </c>
      <c r="S256" t="str">
        <f>IF(F256&gt;=4,"Bulk Order","Normal Order")</f>
        <v>Normal Order</v>
      </c>
    </row>
    <row r="257" spans="1:19" x14ac:dyDescent="0.3">
      <c r="A257" t="s">
        <v>510</v>
      </c>
      <c r="B257" t="s">
        <v>509</v>
      </c>
      <c r="C257" t="s">
        <v>12</v>
      </c>
      <c r="D257">
        <v>27</v>
      </c>
      <c r="E257" t="s">
        <v>8</v>
      </c>
      <c r="F257">
        <v>4</v>
      </c>
      <c r="G257">
        <v>1200.32</v>
      </c>
      <c r="H257" t="s">
        <v>15</v>
      </c>
      <c r="I257" s="1">
        <v>44355</v>
      </c>
      <c r="J257" t="s">
        <v>22</v>
      </c>
      <c r="K257">
        <f>F257*G257</f>
        <v>4801.28</v>
      </c>
      <c r="L257" t="str">
        <f>_xlfn.IFS(D257&lt;20,"Below 20",D257&lt;=30,"20-30",D257&lt;=40,"31-40",D257&lt;=50,"41-50",D257&lt;=60,"51-60",TRUE,"60+")</f>
        <v>20-30</v>
      </c>
      <c r="M257" t="str">
        <f>_xlfn.IFS(K257&lt;500,"Low Spend",K257&lt;=2000,"Medium Spend",K257&lt;=5000,"High Spend",TRUE,"Premium Spend")</f>
        <v>High Spend</v>
      </c>
      <c r="N257" t="str">
        <f>_xlfn.IFS(F257=1,"1 Item",F257&lt;=3,"2-3 Items",F257&lt;=5,"4-5 Items",TRUE,"6+ Items")</f>
        <v>4-5 Items</v>
      </c>
      <c r="O257" t="str">
        <f>TEXT(I257,"mmm")</f>
        <v>Jun</v>
      </c>
      <c r="P257">
        <f>MONTH(I257)</f>
        <v>6</v>
      </c>
      <c r="Q257">
        <f>YEAR(I257)</f>
        <v>2021</v>
      </c>
      <c r="R257" t="str">
        <f>IF(K257&gt;=5000,"High Value","Regular")</f>
        <v>Regular</v>
      </c>
      <c r="S257" t="str">
        <f>IF(F257&gt;=4,"Bulk Order","Normal Order")</f>
        <v>Bulk Order</v>
      </c>
    </row>
    <row r="258" spans="1:19" x14ac:dyDescent="0.3">
      <c r="A258" t="s">
        <v>508</v>
      </c>
      <c r="B258" t="s">
        <v>507</v>
      </c>
      <c r="C258" t="s">
        <v>12</v>
      </c>
      <c r="D258">
        <v>39</v>
      </c>
      <c r="E258" t="s">
        <v>19</v>
      </c>
      <c r="F258">
        <v>4</v>
      </c>
      <c r="G258">
        <v>162.63999999999999</v>
      </c>
      <c r="H258" t="s">
        <v>15</v>
      </c>
      <c r="I258" s="1">
        <v>44438</v>
      </c>
      <c r="J258" t="s">
        <v>6</v>
      </c>
      <c r="K258">
        <f>F258*G258</f>
        <v>650.55999999999995</v>
      </c>
      <c r="L258" t="str">
        <f>_xlfn.IFS(D258&lt;20,"Below 20",D258&lt;=30,"20-30",D258&lt;=40,"31-40",D258&lt;=50,"41-50",D258&lt;=60,"51-60",TRUE,"60+")</f>
        <v>31-40</v>
      </c>
      <c r="M258" t="str">
        <f>_xlfn.IFS(K258&lt;500,"Low Spend",K258&lt;=2000,"Medium Spend",K258&lt;=5000,"High Spend",TRUE,"Premium Spend")</f>
        <v>Medium Spend</v>
      </c>
      <c r="N258" t="str">
        <f>_xlfn.IFS(F258=1,"1 Item",F258&lt;=3,"2-3 Items",F258&lt;=5,"4-5 Items",TRUE,"6+ Items")</f>
        <v>4-5 Items</v>
      </c>
      <c r="O258" t="str">
        <f>TEXT(I258,"mmm")</f>
        <v>Aug</v>
      </c>
      <c r="P258">
        <f>MONTH(I258)</f>
        <v>8</v>
      </c>
      <c r="Q258">
        <f>YEAR(I258)</f>
        <v>2021</v>
      </c>
      <c r="R258" t="str">
        <f>IF(K258&gt;=5000,"High Value","Regular")</f>
        <v>Regular</v>
      </c>
      <c r="S258" t="str">
        <f>IF(F258&gt;=4,"Bulk Order","Normal Order")</f>
        <v>Bulk Order</v>
      </c>
    </row>
    <row r="259" spans="1:19" x14ac:dyDescent="0.3">
      <c r="A259" t="s">
        <v>506</v>
      </c>
      <c r="B259" t="s">
        <v>505</v>
      </c>
      <c r="C259" t="s">
        <v>12</v>
      </c>
      <c r="D259">
        <v>44</v>
      </c>
      <c r="E259" t="s">
        <v>2</v>
      </c>
      <c r="F259">
        <v>3</v>
      </c>
      <c r="G259">
        <v>107.52</v>
      </c>
      <c r="H259" t="s">
        <v>7</v>
      </c>
      <c r="I259" s="1">
        <v>44731</v>
      </c>
      <c r="J259" t="s">
        <v>28</v>
      </c>
      <c r="K259">
        <f>F259*G259</f>
        <v>322.56</v>
      </c>
      <c r="L259" t="str">
        <f>_xlfn.IFS(D259&lt;20,"Below 20",D259&lt;=30,"20-30",D259&lt;=40,"31-40",D259&lt;=50,"41-50",D259&lt;=60,"51-60",TRUE,"60+")</f>
        <v>41-50</v>
      </c>
      <c r="M259" t="str">
        <f>_xlfn.IFS(K259&lt;500,"Low Spend",K259&lt;=2000,"Medium Spend",K259&lt;=5000,"High Spend",TRUE,"Premium Spend")</f>
        <v>Low Spend</v>
      </c>
      <c r="N259" t="str">
        <f>_xlfn.IFS(F259=1,"1 Item",F259&lt;=3,"2-3 Items",F259&lt;=5,"4-5 Items",TRUE,"6+ Items")</f>
        <v>2-3 Items</v>
      </c>
      <c r="O259" t="str">
        <f>TEXT(I259,"mmm")</f>
        <v>Jun</v>
      </c>
      <c r="P259">
        <f>MONTH(I259)</f>
        <v>6</v>
      </c>
      <c r="Q259">
        <f>YEAR(I259)</f>
        <v>2022</v>
      </c>
      <c r="R259" t="str">
        <f>IF(K259&gt;=5000,"High Value","Regular")</f>
        <v>Regular</v>
      </c>
      <c r="S259" t="str">
        <f>IF(F259&gt;=4,"Bulk Order","Normal Order")</f>
        <v>Normal Order</v>
      </c>
    </row>
    <row r="260" spans="1:19" x14ac:dyDescent="0.3">
      <c r="A260" t="s">
        <v>504</v>
      </c>
      <c r="B260" t="s">
        <v>503</v>
      </c>
      <c r="C260" t="s">
        <v>3</v>
      </c>
      <c r="D260">
        <v>52</v>
      </c>
      <c r="E260" t="s">
        <v>8</v>
      </c>
      <c r="F260">
        <v>3</v>
      </c>
      <c r="G260">
        <v>900.24</v>
      </c>
      <c r="H260" t="s">
        <v>7</v>
      </c>
      <c r="I260" s="1">
        <v>44910</v>
      </c>
      <c r="J260" t="s">
        <v>38</v>
      </c>
      <c r="K260">
        <f>F260*G260</f>
        <v>2700.7200000000003</v>
      </c>
      <c r="L260" t="str">
        <f>_xlfn.IFS(D260&lt;20,"Below 20",D260&lt;=30,"20-30",D260&lt;=40,"31-40",D260&lt;=50,"41-50",D260&lt;=60,"51-60",TRUE,"60+")</f>
        <v>51-60</v>
      </c>
      <c r="M260" t="str">
        <f>_xlfn.IFS(K260&lt;500,"Low Spend",K260&lt;=2000,"Medium Spend",K260&lt;=5000,"High Spend",TRUE,"Premium Spend")</f>
        <v>High Spend</v>
      </c>
      <c r="N260" t="str">
        <f>_xlfn.IFS(F260=1,"1 Item",F260&lt;=3,"2-3 Items",F260&lt;=5,"4-5 Items",TRUE,"6+ Items")</f>
        <v>2-3 Items</v>
      </c>
      <c r="O260" t="str">
        <f>TEXT(I260,"mmm")</f>
        <v>Dec</v>
      </c>
      <c r="P260">
        <f>MONTH(I260)</f>
        <v>12</v>
      </c>
      <c r="Q260">
        <f>YEAR(I260)</f>
        <v>2022</v>
      </c>
      <c r="R260" t="str">
        <f>IF(K260&gt;=5000,"High Value","Regular")</f>
        <v>Regular</v>
      </c>
      <c r="S260" t="str">
        <f>IF(F260&gt;=4,"Bulk Order","Normal Order")</f>
        <v>Normal Order</v>
      </c>
    </row>
    <row r="261" spans="1:19" x14ac:dyDescent="0.3">
      <c r="A261" t="s">
        <v>502</v>
      </c>
      <c r="B261" t="s">
        <v>501</v>
      </c>
      <c r="C261" t="s">
        <v>3</v>
      </c>
      <c r="D261">
        <v>19</v>
      </c>
      <c r="E261" t="s">
        <v>19</v>
      </c>
      <c r="F261">
        <v>2</v>
      </c>
      <c r="G261">
        <v>81.319999999999993</v>
      </c>
      <c r="H261" t="s">
        <v>15</v>
      </c>
      <c r="I261" s="1">
        <v>44559</v>
      </c>
      <c r="J261" t="s">
        <v>22</v>
      </c>
      <c r="K261">
        <f>F261*G261</f>
        <v>162.63999999999999</v>
      </c>
      <c r="L261" t="str">
        <f>_xlfn.IFS(D261&lt;20,"Below 20",D261&lt;=30,"20-30",D261&lt;=40,"31-40",D261&lt;=50,"41-50",D261&lt;=60,"51-60",TRUE,"60+")</f>
        <v>Below 20</v>
      </c>
      <c r="M261" t="str">
        <f>_xlfn.IFS(K261&lt;500,"Low Spend",K261&lt;=2000,"Medium Spend",K261&lt;=5000,"High Spend",TRUE,"Premium Spend")</f>
        <v>Low Spend</v>
      </c>
      <c r="N261" t="str">
        <f>_xlfn.IFS(F261=1,"1 Item",F261&lt;=3,"2-3 Items",F261&lt;=5,"4-5 Items",TRUE,"6+ Items")</f>
        <v>2-3 Items</v>
      </c>
      <c r="O261" t="str">
        <f>TEXT(I261,"mmm")</f>
        <v>Dec</v>
      </c>
      <c r="P261">
        <f>MONTH(I261)</f>
        <v>12</v>
      </c>
      <c r="Q261">
        <f>YEAR(I261)</f>
        <v>2021</v>
      </c>
      <c r="R261" t="str">
        <f>IF(K261&gt;=5000,"High Value","Regular")</f>
        <v>Regular</v>
      </c>
      <c r="S261" t="str">
        <f>IF(F261&gt;=4,"Bulk Order","Normal Order")</f>
        <v>Normal Order</v>
      </c>
    </row>
    <row r="262" spans="1:19" x14ac:dyDescent="0.3">
      <c r="A262" t="s">
        <v>500</v>
      </c>
      <c r="B262" t="s">
        <v>499</v>
      </c>
      <c r="C262" t="s">
        <v>3</v>
      </c>
      <c r="D262">
        <v>68</v>
      </c>
      <c r="E262" t="s">
        <v>19</v>
      </c>
      <c r="F262">
        <v>3</v>
      </c>
      <c r="G262">
        <v>121.98</v>
      </c>
      <c r="H262" t="s">
        <v>1</v>
      </c>
      <c r="I262" s="1">
        <v>44731</v>
      </c>
      <c r="J262" t="s">
        <v>102</v>
      </c>
      <c r="K262">
        <f>F262*G262</f>
        <v>365.94</v>
      </c>
      <c r="L262" t="str">
        <f>_xlfn.IFS(D262&lt;20,"Below 20",D262&lt;=30,"20-30",D262&lt;=40,"31-40",D262&lt;=50,"41-50",D262&lt;=60,"51-60",TRUE,"60+")</f>
        <v>60+</v>
      </c>
      <c r="M262" t="str">
        <f>_xlfn.IFS(K262&lt;500,"Low Spend",K262&lt;=2000,"Medium Spend",K262&lt;=5000,"High Spend",TRUE,"Premium Spend")</f>
        <v>Low Spend</v>
      </c>
      <c r="N262" t="str">
        <f>_xlfn.IFS(F262=1,"1 Item",F262&lt;=3,"2-3 Items",F262&lt;=5,"4-5 Items",TRUE,"6+ Items")</f>
        <v>2-3 Items</v>
      </c>
      <c r="O262" t="str">
        <f>TEXT(I262,"mmm")</f>
        <v>Jun</v>
      </c>
      <c r="P262">
        <f>MONTH(I262)</f>
        <v>6</v>
      </c>
      <c r="Q262">
        <f>YEAR(I262)</f>
        <v>2022</v>
      </c>
      <c r="R262" t="str">
        <f>IF(K262&gt;=5000,"High Value","Regular")</f>
        <v>Regular</v>
      </c>
      <c r="S262" t="str">
        <f>IF(F262&gt;=4,"Bulk Order","Normal Order")</f>
        <v>Normal Order</v>
      </c>
    </row>
    <row r="263" spans="1:19" x14ac:dyDescent="0.3">
      <c r="A263" t="s">
        <v>498</v>
      </c>
      <c r="B263" t="s">
        <v>497</v>
      </c>
      <c r="C263" t="s">
        <v>12</v>
      </c>
      <c r="D263">
        <v>22</v>
      </c>
      <c r="E263" t="s">
        <v>61</v>
      </c>
      <c r="F263">
        <v>5</v>
      </c>
      <c r="G263">
        <v>75.75</v>
      </c>
      <c r="H263" t="s">
        <v>15</v>
      </c>
      <c r="I263" s="1">
        <v>44363</v>
      </c>
      <c r="J263" t="s">
        <v>38</v>
      </c>
      <c r="K263">
        <f>F263*G263</f>
        <v>378.75</v>
      </c>
      <c r="L263" t="str">
        <f>_xlfn.IFS(D263&lt;20,"Below 20",D263&lt;=30,"20-30",D263&lt;=40,"31-40",D263&lt;=50,"41-50",D263&lt;=60,"51-60",TRUE,"60+")</f>
        <v>20-30</v>
      </c>
      <c r="M263" t="str">
        <f>_xlfn.IFS(K263&lt;500,"Low Spend",K263&lt;=2000,"Medium Spend",K263&lt;=5000,"High Spend",TRUE,"Premium Spend")</f>
        <v>Low Spend</v>
      </c>
      <c r="N263" t="str">
        <f>_xlfn.IFS(F263=1,"1 Item",F263&lt;=3,"2-3 Items",F263&lt;=5,"4-5 Items",TRUE,"6+ Items")</f>
        <v>4-5 Items</v>
      </c>
      <c r="O263" t="str">
        <f>TEXT(I263,"mmm")</f>
        <v>Jun</v>
      </c>
      <c r="P263">
        <f>MONTH(I263)</f>
        <v>6</v>
      </c>
      <c r="Q263">
        <f>YEAR(I263)</f>
        <v>2021</v>
      </c>
      <c r="R263" t="str">
        <f>IF(K263&gt;=5000,"High Value","Regular")</f>
        <v>Regular</v>
      </c>
      <c r="S263" t="str">
        <f>IF(F263&gt;=4,"Bulk Order","Normal Order")</f>
        <v>Bulk Order</v>
      </c>
    </row>
    <row r="264" spans="1:19" x14ac:dyDescent="0.3">
      <c r="A264" t="s">
        <v>496</v>
      </c>
      <c r="B264" t="s">
        <v>495</v>
      </c>
      <c r="C264" t="s">
        <v>12</v>
      </c>
      <c r="D264">
        <v>61</v>
      </c>
      <c r="E264" t="s">
        <v>31</v>
      </c>
      <c r="F264">
        <v>1</v>
      </c>
      <c r="G264">
        <v>600.16999999999996</v>
      </c>
      <c r="H264" t="s">
        <v>15</v>
      </c>
      <c r="I264" s="1">
        <v>44234</v>
      </c>
      <c r="J264" t="s">
        <v>38</v>
      </c>
      <c r="K264">
        <f>F264*G264</f>
        <v>600.16999999999996</v>
      </c>
      <c r="L264" t="str">
        <f>_xlfn.IFS(D264&lt;20,"Below 20",D264&lt;=30,"20-30",D264&lt;=40,"31-40",D264&lt;=50,"41-50",D264&lt;=60,"51-60",TRUE,"60+")</f>
        <v>60+</v>
      </c>
      <c r="M264" t="str">
        <f>_xlfn.IFS(K264&lt;500,"Low Spend",K264&lt;=2000,"Medium Spend",K264&lt;=5000,"High Spend",TRUE,"Premium Spend")</f>
        <v>Medium Spend</v>
      </c>
      <c r="N264" t="str">
        <f>_xlfn.IFS(F264=1,"1 Item",F264&lt;=3,"2-3 Items",F264&lt;=5,"4-5 Items",TRUE,"6+ Items")</f>
        <v>1 Item</v>
      </c>
      <c r="O264" t="str">
        <f>TEXT(I264,"mmm")</f>
        <v>Feb</v>
      </c>
      <c r="P264">
        <f>MONTH(I264)</f>
        <v>2</v>
      </c>
      <c r="Q264">
        <f>YEAR(I264)</f>
        <v>2021</v>
      </c>
      <c r="R264" t="str">
        <f>IF(K264&gt;=5000,"High Value","Regular")</f>
        <v>Regular</v>
      </c>
      <c r="S264" t="str">
        <f>IF(F264&gt;=4,"Bulk Order","Normal Order")</f>
        <v>Normal Order</v>
      </c>
    </row>
    <row r="265" spans="1:19" x14ac:dyDescent="0.3">
      <c r="A265" t="s">
        <v>494</v>
      </c>
      <c r="B265" t="s">
        <v>493</v>
      </c>
      <c r="C265" t="s">
        <v>12</v>
      </c>
      <c r="D265">
        <v>23</v>
      </c>
      <c r="E265" t="s">
        <v>16</v>
      </c>
      <c r="F265">
        <v>3</v>
      </c>
      <c r="G265">
        <v>15.69</v>
      </c>
      <c r="H265" t="s">
        <v>1</v>
      </c>
      <c r="I265" s="1">
        <v>44943</v>
      </c>
      <c r="J265" t="s">
        <v>28</v>
      </c>
      <c r="K265">
        <f>F265*G265</f>
        <v>47.07</v>
      </c>
      <c r="L265" t="str">
        <f>_xlfn.IFS(D265&lt;20,"Below 20",D265&lt;=30,"20-30",D265&lt;=40,"31-40",D265&lt;=50,"41-50",D265&lt;=60,"51-60",TRUE,"60+")</f>
        <v>20-30</v>
      </c>
      <c r="M265" t="str">
        <f>_xlfn.IFS(K265&lt;500,"Low Spend",K265&lt;=2000,"Medium Spend",K265&lt;=5000,"High Spend",TRUE,"Premium Spend")</f>
        <v>Low Spend</v>
      </c>
      <c r="N265" t="str">
        <f>_xlfn.IFS(F265=1,"1 Item",F265&lt;=3,"2-3 Items",F265&lt;=5,"4-5 Items",TRUE,"6+ Items")</f>
        <v>2-3 Items</v>
      </c>
      <c r="O265" t="str">
        <f>TEXT(I265,"mmm")</f>
        <v>Jan</v>
      </c>
      <c r="P265">
        <f>MONTH(I265)</f>
        <v>1</v>
      </c>
      <c r="Q265">
        <f>YEAR(I265)</f>
        <v>2023</v>
      </c>
      <c r="R265" t="str">
        <f>IF(K265&gt;=5000,"High Value","Regular")</f>
        <v>Regular</v>
      </c>
      <c r="S265" t="str">
        <f>IF(F265&gt;=4,"Bulk Order","Normal Order")</f>
        <v>Normal Order</v>
      </c>
    </row>
    <row r="266" spans="1:19" x14ac:dyDescent="0.3">
      <c r="A266" t="s">
        <v>492</v>
      </c>
      <c r="B266" t="s">
        <v>491</v>
      </c>
      <c r="C266" t="s">
        <v>12</v>
      </c>
      <c r="D266">
        <v>34</v>
      </c>
      <c r="E266" t="s">
        <v>19</v>
      </c>
      <c r="F266">
        <v>5</v>
      </c>
      <c r="G266">
        <v>203.3</v>
      </c>
      <c r="H266" t="s">
        <v>7</v>
      </c>
      <c r="I266" s="1">
        <v>44581</v>
      </c>
      <c r="J266" t="s">
        <v>11</v>
      </c>
      <c r="K266">
        <f>F266*G266</f>
        <v>1016.5</v>
      </c>
      <c r="L266" t="str">
        <f>_xlfn.IFS(D266&lt;20,"Below 20",D266&lt;=30,"20-30",D266&lt;=40,"31-40",D266&lt;=50,"41-50",D266&lt;=60,"51-60",TRUE,"60+")</f>
        <v>31-40</v>
      </c>
      <c r="M266" t="str">
        <f>_xlfn.IFS(K266&lt;500,"Low Spend",K266&lt;=2000,"Medium Spend",K266&lt;=5000,"High Spend",TRUE,"Premium Spend")</f>
        <v>Medium Spend</v>
      </c>
      <c r="N266" t="str">
        <f>_xlfn.IFS(F266=1,"1 Item",F266&lt;=3,"2-3 Items",F266&lt;=5,"4-5 Items",TRUE,"6+ Items")</f>
        <v>4-5 Items</v>
      </c>
      <c r="O266" t="str">
        <f>TEXT(I266,"mmm")</f>
        <v>Jan</v>
      </c>
      <c r="P266">
        <f>MONTH(I266)</f>
        <v>1</v>
      </c>
      <c r="Q266">
        <f>YEAR(I266)</f>
        <v>2022</v>
      </c>
      <c r="R266" t="str">
        <f>IF(K266&gt;=5000,"High Value","Regular")</f>
        <v>Regular</v>
      </c>
      <c r="S266" t="str">
        <f>IF(F266&gt;=4,"Bulk Order","Normal Order")</f>
        <v>Bulk Order</v>
      </c>
    </row>
    <row r="267" spans="1:19" x14ac:dyDescent="0.3">
      <c r="A267" t="s">
        <v>490</v>
      </c>
      <c r="B267" t="s">
        <v>489</v>
      </c>
      <c r="C267" t="s">
        <v>3</v>
      </c>
      <c r="D267">
        <v>33</v>
      </c>
      <c r="E267" t="s">
        <v>23</v>
      </c>
      <c r="F267">
        <v>2</v>
      </c>
      <c r="G267">
        <v>23.46</v>
      </c>
      <c r="H267" t="s">
        <v>7</v>
      </c>
      <c r="I267" s="1">
        <v>44773</v>
      </c>
      <c r="J267" t="s">
        <v>11</v>
      </c>
      <c r="K267">
        <f>F267*G267</f>
        <v>46.92</v>
      </c>
      <c r="L267" t="str">
        <f>_xlfn.IFS(D267&lt;20,"Below 20",D267&lt;=30,"20-30",D267&lt;=40,"31-40",D267&lt;=50,"41-50",D267&lt;=60,"51-60",TRUE,"60+")</f>
        <v>31-40</v>
      </c>
      <c r="M267" t="str">
        <f>_xlfn.IFS(K267&lt;500,"Low Spend",K267&lt;=2000,"Medium Spend",K267&lt;=5000,"High Spend",TRUE,"Premium Spend")</f>
        <v>Low Spend</v>
      </c>
      <c r="N267" t="str">
        <f>_xlfn.IFS(F267=1,"1 Item",F267&lt;=3,"2-3 Items",F267&lt;=5,"4-5 Items",TRUE,"6+ Items")</f>
        <v>2-3 Items</v>
      </c>
      <c r="O267" t="str">
        <f>TEXT(I267,"mmm")</f>
        <v>Jul</v>
      </c>
      <c r="P267">
        <f>MONTH(I267)</f>
        <v>7</v>
      </c>
      <c r="Q267">
        <f>YEAR(I267)</f>
        <v>2022</v>
      </c>
      <c r="R267" t="str">
        <f>IF(K267&gt;=5000,"High Value","Regular")</f>
        <v>Regular</v>
      </c>
      <c r="S267" t="str">
        <f>IF(F267&gt;=4,"Bulk Order","Normal Order")</f>
        <v>Normal Order</v>
      </c>
    </row>
    <row r="268" spans="1:19" x14ac:dyDescent="0.3">
      <c r="A268" t="s">
        <v>488</v>
      </c>
      <c r="B268" t="s">
        <v>487</v>
      </c>
      <c r="C268" t="s">
        <v>3</v>
      </c>
      <c r="D268">
        <v>60</v>
      </c>
      <c r="E268" t="s">
        <v>31</v>
      </c>
      <c r="F268">
        <v>1</v>
      </c>
      <c r="G268">
        <v>600.16999999999996</v>
      </c>
      <c r="H268" t="s">
        <v>1</v>
      </c>
      <c r="I268" s="1">
        <v>44469</v>
      </c>
      <c r="J268" t="s">
        <v>68</v>
      </c>
      <c r="K268">
        <f>F268*G268</f>
        <v>600.16999999999996</v>
      </c>
      <c r="L268" t="str">
        <f>_xlfn.IFS(D268&lt;20,"Below 20",D268&lt;=30,"20-30",D268&lt;=40,"31-40",D268&lt;=50,"41-50",D268&lt;=60,"51-60",TRUE,"60+")</f>
        <v>51-60</v>
      </c>
      <c r="M268" t="str">
        <f>_xlfn.IFS(K268&lt;500,"Low Spend",K268&lt;=2000,"Medium Spend",K268&lt;=5000,"High Spend",TRUE,"Premium Spend")</f>
        <v>Medium Spend</v>
      </c>
      <c r="N268" t="str">
        <f>_xlfn.IFS(F268=1,"1 Item",F268&lt;=3,"2-3 Items",F268&lt;=5,"4-5 Items",TRUE,"6+ Items")</f>
        <v>1 Item</v>
      </c>
      <c r="O268" t="str">
        <f>TEXT(I268,"mmm")</f>
        <v>Sep</v>
      </c>
      <c r="P268">
        <f>MONTH(I268)</f>
        <v>9</v>
      </c>
      <c r="Q268">
        <f>YEAR(I268)</f>
        <v>2021</v>
      </c>
      <c r="R268" t="str">
        <f>IF(K268&gt;=5000,"High Value","Regular")</f>
        <v>Regular</v>
      </c>
      <c r="S268" t="str">
        <f>IF(F268&gt;=4,"Bulk Order","Normal Order")</f>
        <v>Normal Order</v>
      </c>
    </row>
    <row r="269" spans="1:19" x14ac:dyDescent="0.3">
      <c r="A269" t="s">
        <v>486</v>
      </c>
      <c r="B269" t="s">
        <v>485</v>
      </c>
      <c r="C269" t="s">
        <v>3</v>
      </c>
      <c r="D269">
        <v>24</v>
      </c>
      <c r="E269" t="s">
        <v>16</v>
      </c>
      <c r="F269">
        <v>1</v>
      </c>
      <c r="G269">
        <v>5.23</v>
      </c>
      <c r="H269" t="s">
        <v>7</v>
      </c>
      <c r="I269" s="1">
        <v>44657</v>
      </c>
      <c r="J269" t="s">
        <v>107</v>
      </c>
      <c r="K269">
        <f>F269*G269</f>
        <v>5.23</v>
      </c>
      <c r="L269" t="str">
        <f>_xlfn.IFS(D269&lt;20,"Below 20",D269&lt;=30,"20-30",D269&lt;=40,"31-40",D269&lt;=50,"41-50",D269&lt;=60,"51-60",TRUE,"60+")</f>
        <v>20-30</v>
      </c>
      <c r="M269" t="str">
        <f>_xlfn.IFS(K269&lt;500,"Low Spend",K269&lt;=2000,"Medium Spend",K269&lt;=5000,"High Spend",TRUE,"Premium Spend")</f>
        <v>Low Spend</v>
      </c>
      <c r="N269" t="str">
        <f>_xlfn.IFS(F269=1,"1 Item",F269&lt;=3,"2-3 Items",F269&lt;=5,"4-5 Items",TRUE,"6+ Items")</f>
        <v>1 Item</v>
      </c>
      <c r="O269" t="str">
        <f>TEXT(I269,"mmm")</f>
        <v>Apr</v>
      </c>
      <c r="P269">
        <f>MONTH(I269)</f>
        <v>4</v>
      </c>
      <c r="Q269">
        <f>YEAR(I269)</f>
        <v>2022</v>
      </c>
      <c r="R269" t="str">
        <f>IF(K269&gt;=5000,"High Value","Regular")</f>
        <v>Regular</v>
      </c>
      <c r="S269" t="str">
        <f>IF(F269&gt;=4,"Bulk Order","Normal Order")</f>
        <v>Normal Order</v>
      </c>
    </row>
    <row r="270" spans="1:19" x14ac:dyDescent="0.3">
      <c r="A270" t="s">
        <v>484</v>
      </c>
      <c r="B270" t="s">
        <v>483</v>
      </c>
      <c r="C270" t="s">
        <v>12</v>
      </c>
      <c r="D270">
        <v>53</v>
      </c>
      <c r="E270" t="s">
        <v>19</v>
      </c>
      <c r="F270">
        <v>5</v>
      </c>
      <c r="G270">
        <v>203.3</v>
      </c>
      <c r="H270" t="s">
        <v>7</v>
      </c>
      <c r="I270" s="1">
        <v>44879</v>
      </c>
      <c r="J270" t="s">
        <v>22</v>
      </c>
      <c r="K270">
        <f>F270*G270</f>
        <v>1016.5</v>
      </c>
      <c r="L270" t="str">
        <f>_xlfn.IFS(D270&lt;20,"Below 20",D270&lt;=30,"20-30",D270&lt;=40,"31-40",D270&lt;=50,"41-50",D270&lt;=60,"51-60",TRUE,"60+")</f>
        <v>51-60</v>
      </c>
      <c r="M270" t="str">
        <f>_xlfn.IFS(K270&lt;500,"Low Spend",K270&lt;=2000,"Medium Spend",K270&lt;=5000,"High Spend",TRUE,"Premium Spend")</f>
        <v>Medium Spend</v>
      </c>
      <c r="N270" t="str">
        <f>_xlfn.IFS(F270=1,"1 Item",F270&lt;=3,"2-3 Items",F270&lt;=5,"4-5 Items",TRUE,"6+ Items")</f>
        <v>4-5 Items</v>
      </c>
      <c r="O270" t="str">
        <f>TEXT(I270,"mmm")</f>
        <v>Nov</v>
      </c>
      <c r="P270">
        <f>MONTH(I270)</f>
        <v>11</v>
      </c>
      <c r="Q270">
        <f>YEAR(I270)</f>
        <v>2022</v>
      </c>
      <c r="R270" t="str">
        <f>IF(K270&gt;=5000,"High Value","Regular")</f>
        <v>Regular</v>
      </c>
      <c r="S270" t="str">
        <f>IF(F270&gt;=4,"Bulk Order","Normal Order")</f>
        <v>Bulk Order</v>
      </c>
    </row>
    <row r="271" spans="1:19" x14ac:dyDescent="0.3">
      <c r="A271" t="s">
        <v>482</v>
      </c>
      <c r="B271" t="s">
        <v>481</v>
      </c>
      <c r="C271" t="s">
        <v>12</v>
      </c>
      <c r="D271">
        <v>22</v>
      </c>
      <c r="E271" t="s">
        <v>8</v>
      </c>
      <c r="F271">
        <v>3</v>
      </c>
      <c r="G271">
        <v>900.24</v>
      </c>
      <c r="H271" t="s">
        <v>1</v>
      </c>
      <c r="I271" s="1">
        <v>44251</v>
      </c>
      <c r="J271" t="s">
        <v>11</v>
      </c>
      <c r="K271">
        <f>F271*G271</f>
        <v>2700.7200000000003</v>
      </c>
      <c r="L271" t="str">
        <f>_xlfn.IFS(D271&lt;20,"Below 20",D271&lt;=30,"20-30",D271&lt;=40,"31-40",D271&lt;=50,"41-50",D271&lt;=60,"51-60",TRUE,"60+")</f>
        <v>20-30</v>
      </c>
      <c r="M271" t="str">
        <f>_xlfn.IFS(K271&lt;500,"Low Spend",K271&lt;=2000,"Medium Spend",K271&lt;=5000,"High Spend",TRUE,"Premium Spend")</f>
        <v>High Spend</v>
      </c>
      <c r="N271" t="str">
        <f>_xlfn.IFS(F271=1,"1 Item",F271&lt;=3,"2-3 Items",F271&lt;=5,"4-5 Items",TRUE,"6+ Items")</f>
        <v>2-3 Items</v>
      </c>
      <c r="O271" t="str">
        <f>TEXT(I271,"mmm")</f>
        <v>Feb</v>
      </c>
      <c r="P271">
        <f>MONTH(I271)</f>
        <v>2</v>
      </c>
      <c r="Q271">
        <f>YEAR(I271)</f>
        <v>2021</v>
      </c>
      <c r="R271" t="str">
        <f>IF(K271&gt;=5000,"High Value","Regular")</f>
        <v>Regular</v>
      </c>
      <c r="S271" t="str">
        <f>IF(F271&gt;=4,"Bulk Order","Normal Order")</f>
        <v>Normal Order</v>
      </c>
    </row>
    <row r="272" spans="1:19" x14ac:dyDescent="0.3">
      <c r="A272" t="s">
        <v>480</v>
      </c>
      <c r="B272" t="s">
        <v>479</v>
      </c>
      <c r="C272" t="s">
        <v>12</v>
      </c>
      <c r="D272">
        <v>50</v>
      </c>
      <c r="E272" t="s">
        <v>23</v>
      </c>
      <c r="F272">
        <v>4</v>
      </c>
      <c r="G272">
        <v>46.92</v>
      </c>
      <c r="H272" t="s">
        <v>15</v>
      </c>
      <c r="I272" s="1">
        <v>44341</v>
      </c>
      <c r="J272" t="s">
        <v>11</v>
      </c>
      <c r="K272">
        <f>F272*G272</f>
        <v>187.68</v>
      </c>
      <c r="L272" t="str">
        <f>_xlfn.IFS(D272&lt;20,"Below 20",D272&lt;=30,"20-30",D272&lt;=40,"31-40",D272&lt;=50,"41-50",D272&lt;=60,"51-60",TRUE,"60+")</f>
        <v>41-50</v>
      </c>
      <c r="M272" t="str">
        <f>_xlfn.IFS(K272&lt;500,"Low Spend",K272&lt;=2000,"Medium Spend",K272&lt;=5000,"High Spend",TRUE,"Premium Spend")</f>
        <v>Low Spend</v>
      </c>
      <c r="N272" t="str">
        <f>_xlfn.IFS(F272=1,"1 Item",F272&lt;=3,"2-3 Items",F272&lt;=5,"4-5 Items",TRUE,"6+ Items")</f>
        <v>4-5 Items</v>
      </c>
      <c r="O272" t="str">
        <f>TEXT(I272,"mmm")</f>
        <v>May</v>
      </c>
      <c r="P272">
        <f>MONTH(I272)</f>
        <v>5</v>
      </c>
      <c r="Q272">
        <f>YEAR(I272)</f>
        <v>2021</v>
      </c>
      <c r="R272" t="str">
        <f>IF(K272&gt;=5000,"High Value","Regular")</f>
        <v>Regular</v>
      </c>
      <c r="S272" t="str">
        <f>IF(F272&gt;=4,"Bulk Order","Normal Order")</f>
        <v>Bulk Order</v>
      </c>
    </row>
    <row r="273" spans="1:19" x14ac:dyDescent="0.3">
      <c r="A273" t="s">
        <v>478</v>
      </c>
      <c r="B273" t="s">
        <v>477</v>
      </c>
      <c r="C273" t="s">
        <v>12</v>
      </c>
      <c r="D273">
        <v>49</v>
      </c>
      <c r="E273" t="s">
        <v>8</v>
      </c>
      <c r="F273">
        <v>2</v>
      </c>
      <c r="G273">
        <v>600.16</v>
      </c>
      <c r="H273" t="s">
        <v>1</v>
      </c>
      <c r="I273" s="1">
        <v>44277</v>
      </c>
      <c r="J273" t="s">
        <v>11</v>
      </c>
      <c r="K273">
        <f>F273*G273</f>
        <v>1200.32</v>
      </c>
      <c r="L273" t="str">
        <f>_xlfn.IFS(D273&lt;20,"Below 20",D273&lt;=30,"20-30",D273&lt;=40,"31-40",D273&lt;=50,"41-50",D273&lt;=60,"51-60",TRUE,"60+")</f>
        <v>41-50</v>
      </c>
      <c r="M273" t="str">
        <f>_xlfn.IFS(K273&lt;500,"Low Spend",K273&lt;=2000,"Medium Spend",K273&lt;=5000,"High Spend",TRUE,"Premium Spend")</f>
        <v>Medium Spend</v>
      </c>
      <c r="N273" t="str">
        <f>_xlfn.IFS(F273=1,"1 Item",F273&lt;=3,"2-3 Items",F273&lt;=5,"4-5 Items",TRUE,"6+ Items")</f>
        <v>2-3 Items</v>
      </c>
      <c r="O273" t="str">
        <f>TEXT(I273,"mmm")</f>
        <v>Mar</v>
      </c>
      <c r="P273">
        <f>MONTH(I273)</f>
        <v>3</v>
      </c>
      <c r="Q273">
        <f>YEAR(I273)</f>
        <v>2021</v>
      </c>
      <c r="R273" t="str">
        <f>IF(K273&gt;=5000,"High Value","Regular")</f>
        <v>Regular</v>
      </c>
      <c r="S273" t="str">
        <f>IF(F273&gt;=4,"Bulk Order","Normal Order")</f>
        <v>Normal Order</v>
      </c>
    </row>
    <row r="274" spans="1:19" x14ac:dyDescent="0.3">
      <c r="A274" t="s">
        <v>476</v>
      </c>
      <c r="B274" t="s">
        <v>475</v>
      </c>
      <c r="C274" t="s">
        <v>12</v>
      </c>
      <c r="D274">
        <v>31</v>
      </c>
      <c r="E274" t="s">
        <v>8</v>
      </c>
      <c r="F274">
        <v>1</v>
      </c>
      <c r="G274">
        <v>300.08</v>
      </c>
      <c r="H274" t="s">
        <v>7</v>
      </c>
      <c r="I274" s="1">
        <v>44917</v>
      </c>
      <c r="J274" t="s">
        <v>22</v>
      </c>
      <c r="K274">
        <f>F274*G274</f>
        <v>300.08</v>
      </c>
      <c r="L274" t="str">
        <f>_xlfn.IFS(D274&lt;20,"Below 20",D274&lt;=30,"20-30",D274&lt;=40,"31-40",D274&lt;=50,"41-50",D274&lt;=60,"51-60",TRUE,"60+")</f>
        <v>31-40</v>
      </c>
      <c r="M274" t="str">
        <f>_xlfn.IFS(K274&lt;500,"Low Spend",K274&lt;=2000,"Medium Spend",K274&lt;=5000,"High Spend",TRUE,"Premium Spend")</f>
        <v>Low Spend</v>
      </c>
      <c r="N274" t="str">
        <f>_xlfn.IFS(F274=1,"1 Item",F274&lt;=3,"2-3 Items",F274&lt;=5,"4-5 Items",TRUE,"6+ Items")</f>
        <v>1 Item</v>
      </c>
      <c r="O274" t="str">
        <f>TEXT(I274,"mmm")</f>
        <v>Dec</v>
      </c>
      <c r="P274">
        <f>MONTH(I274)</f>
        <v>12</v>
      </c>
      <c r="Q274">
        <f>YEAR(I274)</f>
        <v>2022</v>
      </c>
      <c r="R274" t="str">
        <f>IF(K274&gt;=5000,"High Value","Regular")</f>
        <v>Regular</v>
      </c>
      <c r="S274" t="str">
        <f>IF(F274&gt;=4,"Bulk Order","Normal Order")</f>
        <v>Normal Order</v>
      </c>
    </row>
    <row r="275" spans="1:19" x14ac:dyDescent="0.3">
      <c r="A275" t="s">
        <v>474</v>
      </c>
      <c r="B275" t="s">
        <v>473</v>
      </c>
      <c r="C275" t="s">
        <v>12</v>
      </c>
      <c r="D275">
        <v>29</v>
      </c>
      <c r="E275" t="s">
        <v>16</v>
      </c>
      <c r="F275">
        <v>5</v>
      </c>
      <c r="G275">
        <v>26.15</v>
      </c>
      <c r="H275" t="s">
        <v>15</v>
      </c>
      <c r="I275" s="1">
        <v>44384</v>
      </c>
      <c r="J275" t="s">
        <v>102</v>
      </c>
      <c r="K275">
        <f>F275*G275</f>
        <v>130.75</v>
      </c>
      <c r="L275" t="str">
        <f>_xlfn.IFS(D275&lt;20,"Below 20",D275&lt;=30,"20-30",D275&lt;=40,"31-40",D275&lt;=50,"41-50",D275&lt;=60,"51-60",TRUE,"60+")</f>
        <v>20-30</v>
      </c>
      <c r="M275" t="str">
        <f>_xlfn.IFS(K275&lt;500,"Low Spend",K275&lt;=2000,"Medium Spend",K275&lt;=5000,"High Spend",TRUE,"Premium Spend")</f>
        <v>Low Spend</v>
      </c>
      <c r="N275" t="str">
        <f>_xlfn.IFS(F275=1,"1 Item",F275&lt;=3,"2-3 Items",F275&lt;=5,"4-5 Items",TRUE,"6+ Items")</f>
        <v>4-5 Items</v>
      </c>
      <c r="O275" t="str">
        <f>TEXT(I275,"mmm")</f>
        <v>Jul</v>
      </c>
      <c r="P275">
        <f>MONTH(I275)</f>
        <v>7</v>
      </c>
      <c r="Q275">
        <f>YEAR(I275)</f>
        <v>2021</v>
      </c>
      <c r="R275" t="str">
        <f>IF(K275&gt;=5000,"High Value","Regular")</f>
        <v>Regular</v>
      </c>
      <c r="S275" t="str">
        <f>IF(F275&gt;=4,"Bulk Order","Normal Order")</f>
        <v>Bulk Order</v>
      </c>
    </row>
    <row r="276" spans="1:19" x14ac:dyDescent="0.3">
      <c r="A276" t="s">
        <v>472</v>
      </c>
      <c r="B276" t="s">
        <v>471</v>
      </c>
      <c r="C276" t="s">
        <v>3</v>
      </c>
      <c r="D276">
        <v>52</v>
      </c>
      <c r="E276" t="s">
        <v>16</v>
      </c>
      <c r="F276">
        <v>1</v>
      </c>
      <c r="G276">
        <v>5.23</v>
      </c>
      <c r="H276" t="s">
        <v>1</v>
      </c>
      <c r="I276" s="1">
        <v>44457</v>
      </c>
      <c r="J276" t="s">
        <v>28</v>
      </c>
      <c r="K276">
        <f>F276*G276</f>
        <v>5.23</v>
      </c>
      <c r="L276" t="str">
        <f>_xlfn.IFS(D276&lt;20,"Below 20",D276&lt;=30,"20-30",D276&lt;=40,"31-40",D276&lt;=50,"41-50",D276&lt;=60,"51-60",TRUE,"60+")</f>
        <v>51-60</v>
      </c>
      <c r="M276" t="str">
        <f>_xlfn.IFS(K276&lt;500,"Low Spend",K276&lt;=2000,"Medium Spend",K276&lt;=5000,"High Spend",TRUE,"Premium Spend")</f>
        <v>Low Spend</v>
      </c>
      <c r="N276" t="str">
        <f>_xlfn.IFS(F276=1,"1 Item",F276&lt;=3,"2-3 Items",F276&lt;=5,"4-5 Items",TRUE,"6+ Items")</f>
        <v>1 Item</v>
      </c>
      <c r="O276" t="str">
        <f>TEXT(I276,"mmm")</f>
        <v>Sep</v>
      </c>
      <c r="P276">
        <f>MONTH(I276)</f>
        <v>9</v>
      </c>
      <c r="Q276">
        <f>YEAR(I276)</f>
        <v>2021</v>
      </c>
      <c r="R276" t="str">
        <f>IF(K276&gt;=5000,"High Value","Regular")</f>
        <v>Regular</v>
      </c>
      <c r="S276" t="str">
        <f>IF(F276&gt;=4,"Bulk Order","Normal Order")</f>
        <v>Normal Order</v>
      </c>
    </row>
    <row r="277" spans="1:19" x14ac:dyDescent="0.3">
      <c r="A277" t="s">
        <v>470</v>
      </c>
      <c r="B277" t="s">
        <v>469</v>
      </c>
      <c r="C277" t="s">
        <v>3</v>
      </c>
      <c r="D277">
        <v>67</v>
      </c>
      <c r="E277" t="s">
        <v>19</v>
      </c>
      <c r="F277">
        <v>2</v>
      </c>
      <c r="G277">
        <v>81.319999999999993</v>
      </c>
      <c r="H277" t="s">
        <v>15</v>
      </c>
      <c r="I277" s="1">
        <v>44610</v>
      </c>
      <c r="J277" t="s">
        <v>0</v>
      </c>
      <c r="K277">
        <f>F277*G277</f>
        <v>162.63999999999999</v>
      </c>
      <c r="L277" t="str">
        <f>_xlfn.IFS(D277&lt;20,"Below 20",D277&lt;=30,"20-30",D277&lt;=40,"31-40",D277&lt;=50,"41-50",D277&lt;=60,"51-60",TRUE,"60+")</f>
        <v>60+</v>
      </c>
      <c r="M277" t="str">
        <f>_xlfn.IFS(K277&lt;500,"Low Spend",K277&lt;=2000,"Medium Spend",K277&lt;=5000,"High Spend",TRUE,"Premium Spend")</f>
        <v>Low Spend</v>
      </c>
      <c r="N277" t="str">
        <f>_xlfn.IFS(F277=1,"1 Item",F277&lt;=3,"2-3 Items",F277&lt;=5,"4-5 Items",TRUE,"6+ Items")</f>
        <v>2-3 Items</v>
      </c>
      <c r="O277" t="str">
        <f>TEXT(I277,"mmm")</f>
        <v>Feb</v>
      </c>
      <c r="P277">
        <f>MONTH(I277)</f>
        <v>2</v>
      </c>
      <c r="Q277">
        <f>YEAR(I277)</f>
        <v>2022</v>
      </c>
      <c r="R277" t="str">
        <f>IF(K277&gt;=5000,"High Value","Regular")</f>
        <v>Regular</v>
      </c>
      <c r="S277" t="str">
        <f>IF(F277&gt;=4,"Bulk Order","Normal Order")</f>
        <v>Normal Order</v>
      </c>
    </row>
    <row r="278" spans="1:19" x14ac:dyDescent="0.3">
      <c r="A278" t="s">
        <v>468</v>
      </c>
      <c r="B278" t="s">
        <v>467</v>
      </c>
      <c r="C278" t="s">
        <v>3</v>
      </c>
      <c r="D278">
        <v>50</v>
      </c>
      <c r="E278" t="s">
        <v>16</v>
      </c>
      <c r="F278">
        <v>2</v>
      </c>
      <c r="G278">
        <v>10.46</v>
      </c>
      <c r="H278" t="s">
        <v>15</v>
      </c>
      <c r="I278" s="1">
        <v>44360</v>
      </c>
      <c r="J278" t="s">
        <v>68</v>
      </c>
      <c r="K278">
        <f>F278*G278</f>
        <v>20.92</v>
      </c>
      <c r="L278" t="str">
        <f>_xlfn.IFS(D278&lt;20,"Below 20",D278&lt;=30,"20-30",D278&lt;=40,"31-40",D278&lt;=50,"41-50",D278&lt;=60,"51-60",TRUE,"60+")</f>
        <v>41-50</v>
      </c>
      <c r="M278" t="str">
        <f>_xlfn.IFS(K278&lt;500,"Low Spend",K278&lt;=2000,"Medium Spend",K278&lt;=5000,"High Spend",TRUE,"Premium Spend")</f>
        <v>Low Spend</v>
      </c>
      <c r="N278" t="str">
        <f>_xlfn.IFS(F278=1,"1 Item",F278&lt;=3,"2-3 Items",F278&lt;=5,"4-5 Items",TRUE,"6+ Items")</f>
        <v>2-3 Items</v>
      </c>
      <c r="O278" t="str">
        <f>TEXT(I278,"mmm")</f>
        <v>Jun</v>
      </c>
      <c r="P278">
        <f>MONTH(I278)</f>
        <v>6</v>
      </c>
      <c r="Q278">
        <f>YEAR(I278)</f>
        <v>2021</v>
      </c>
      <c r="R278" t="str">
        <f>IF(K278&gt;=5000,"High Value","Regular")</f>
        <v>Regular</v>
      </c>
      <c r="S278" t="str">
        <f>IF(F278&gt;=4,"Bulk Order","Normal Order")</f>
        <v>Normal Order</v>
      </c>
    </row>
    <row r="279" spans="1:19" x14ac:dyDescent="0.3">
      <c r="A279" t="s">
        <v>466</v>
      </c>
      <c r="B279" t="s">
        <v>465</v>
      </c>
      <c r="C279" t="s">
        <v>3</v>
      </c>
      <c r="D279">
        <v>58</v>
      </c>
      <c r="E279" t="s">
        <v>2</v>
      </c>
      <c r="F279">
        <v>5</v>
      </c>
      <c r="G279">
        <v>179.2</v>
      </c>
      <c r="H279" t="s">
        <v>15</v>
      </c>
      <c r="I279" s="1">
        <v>44346</v>
      </c>
      <c r="J279" t="s">
        <v>22</v>
      </c>
      <c r="K279">
        <f>F279*G279</f>
        <v>896</v>
      </c>
      <c r="L279" t="str">
        <f>_xlfn.IFS(D279&lt;20,"Below 20",D279&lt;=30,"20-30",D279&lt;=40,"31-40",D279&lt;=50,"41-50",D279&lt;=60,"51-60",TRUE,"60+")</f>
        <v>51-60</v>
      </c>
      <c r="M279" t="str">
        <f>_xlfn.IFS(K279&lt;500,"Low Spend",K279&lt;=2000,"Medium Spend",K279&lt;=5000,"High Spend",TRUE,"Premium Spend")</f>
        <v>Medium Spend</v>
      </c>
      <c r="N279" t="str">
        <f>_xlfn.IFS(F279=1,"1 Item",F279&lt;=3,"2-3 Items",F279&lt;=5,"4-5 Items",TRUE,"6+ Items")</f>
        <v>4-5 Items</v>
      </c>
      <c r="O279" t="str">
        <f>TEXT(I279,"mmm")</f>
        <v>May</v>
      </c>
      <c r="P279">
        <f>MONTH(I279)</f>
        <v>5</v>
      </c>
      <c r="Q279">
        <f>YEAR(I279)</f>
        <v>2021</v>
      </c>
      <c r="R279" t="str">
        <f>IF(K279&gt;=5000,"High Value","Regular")</f>
        <v>Regular</v>
      </c>
      <c r="S279" t="str">
        <f>IF(F279&gt;=4,"Bulk Order","Normal Order")</f>
        <v>Bulk Order</v>
      </c>
    </row>
    <row r="280" spans="1:19" x14ac:dyDescent="0.3">
      <c r="A280" t="s">
        <v>464</v>
      </c>
      <c r="B280" t="s">
        <v>463</v>
      </c>
      <c r="C280" t="s">
        <v>3</v>
      </c>
      <c r="D280">
        <v>50</v>
      </c>
      <c r="E280" t="s">
        <v>8</v>
      </c>
      <c r="F280">
        <v>4</v>
      </c>
      <c r="G280">
        <v>1200.32</v>
      </c>
      <c r="H280" t="s">
        <v>7</v>
      </c>
      <c r="I280" s="1">
        <v>44281</v>
      </c>
      <c r="J280" t="s">
        <v>68</v>
      </c>
      <c r="K280">
        <f>F280*G280</f>
        <v>4801.28</v>
      </c>
      <c r="L280" t="str">
        <f>_xlfn.IFS(D280&lt;20,"Below 20",D280&lt;=30,"20-30",D280&lt;=40,"31-40",D280&lt;=50,"41-50",D280&lt;=60,"51-60",TRUE,"60+")</f>
        <v>41-50</v>
      </c>
      <c r="M280" t="str">
        <f>_xlfn.IFS(K280&lt;500,"Low Spend",K280&lt;=2000,"Medium Spend",K280&lt;=5000,"High Spend",TRUE,"Premium Spend")</f>
        <v>High Spend</v>
      </c>
      <c r="N280" t="str">
        <f>_xlfn.IFS(F280=1,"1 Item",F280&lt;=3,"2-3 Items",F280&lt;=5,"4-5 Items",TRUE,"6+ Items")</f>
        <v>4-5 Items</v>
      </c>
      <c r="O280" t="str">
        <f>TEXT(I280,"mmm")</f>
        <v>Mar</v>
      </c>
      <c r="P280">
        <f>MONTH(I280)</f>
        <v>3</v>
      </c>
      <c r="Q280">
        <f>YEAR(I280)</f>
        <v>2021</v>
      </c>
      <c r="R280" t="str">
        <f>IF(K280&gt;=5000,"High Value","Regular")</f>
        <v>Regular</v>
      </c>
      <c r="S280" t="str">
        <f>IF(F280&gt;=4,"Bulk Order","Normal Order")</f>
        <v>Bulk Order</v>
      </c>
    </row>
    <row r="281" spans="1:19" x14ac:dyDescent="0.3">
      <c r="A281" t="s">
        <v>462</v>
      </c>
      <c r="B281" t="s">
        <v>461</v>
      </c>
      <c r="C281" t="s">
        <v>3</v>
      </c>
      <c r="D281">
        <v>68</v>
      </c>
      <c r="E281" t="s">
        <v>112</v>
      </c>
      <c r="F281">
        <v>2</v>
      </c>
      <c r="G281">
        <v>2100</v>
      </c>
      <c r="H281" t="s">
        <v>1</v>
      </c>
      <c r="I281" s="1">
        <v>44769</v>
      </c>
      <c r="J281" t="s">
        <v>28</v>
      </c>
      <c r="K281">
        <f>F281*G281</f>
        <v>4200</v>
      </c>
      <c r="L281" t="str">
        <f>_xlfn.IFS(D281&lt;20,"Below 20",D281&lt;=30,"20-30",D281&lt;=40,"31-40",D281&lt;=50,"41-50",D281&lt;=60,"51-60",TRUE,"60+")</f>
        <v>60+</v>
      </c>
      <c r="M281" t="str">
        <f>_xlfn.IFS(K281&lt;500,"Low Spend",K281&lt;=2000,"Medium Spend",K281&lt;=5000,"High Spend",TRUE,"Premium Spend")</f>
        <v>High Spend</v>
      </c>
      <c r="N281" t="str">
        <f>_xlfn.IFS(F281=1,"1 Item",F281&lt;=3,"2-3 Items",F281&lt;=5,"4-5 Items",TRUE,"6+ Items")</f>
        <v>2-3 Items</v>
      </c>
      <c r="O281" t="str">
        <f>TEXT(I281,"mmm")</f>
        <v>Jul</v>
      </c>
      <c r="P281">
        <f>MONTH(I281)</f>
        <v>7</v>
      </c>
      <c r="Q281">
        <f>YEAR(I281)</f>
        <v>2022</v>
      </c>
      <c r="R281" t="str">
        <f>IF(K281&gt;=5000,"High Value","Regular")</f>
        <v>Regular</v>
      </c>
      <c r="S281" t="str">
        <f>IF(F281&gt;=4,"Bulk Order","Normal Order")</f>
        <v>Normal Order</v>
      </c>
    </row>
    <row r="282" spans="1:19" x14ac:dyDescent="0.3">
      <c r="A282" t="s">
        <v>460</v>
      </c>
      <c r="B282" t="s">
        <v>459</v>
      </c>
      <c r="C282" t="s">
        <v>3</v>
      </c>
      <c r="D282">
        <v>59</v>
      </c>
      <c r="E282" t="s">
        <v>23</v>
      </c>
      <c r="F282">
        <v>2</v>
      </c>
      <c r="G282">
        <v>23.46</v>
      </c>
      <c r="H282" t="s">
        <v>1</v>
      </c>
      <c r="I282" s="1">
        <v>44657</v>
      </c>
      <c r="J282" t="s">
        <v>38</v>
      </c>
      <c r="K282">
        <f>F282*G282</f>
        <v>46.92</v>
      </c>
      <c r="L282" t="str">
        <f>_xlfn.IFS(D282&lt;20,"Below 20",D282&lt;=30,"20-30",D282&lt;=40,"31-40",D282&lt;=50,"41-50",D282&lt;=60,"51-60",TRUE,"60+")</f>
        <v>51-60</v>
      </c>
      <c r="M282" t="str">
        <f>_xlfn.IFS(K282&lt;500,"Low Spend",K282&lt;=2000,"Medium Spend",K282&lt;=5000,"High Spend",TRUE,"Premium Spend")</f>
        <v>Low Spend</v>
      </c>
      <c r="N282" t="str">
        <f>_xlfn.IFS(F282=1,"1 Item",F282&lt;=3,"2-3 Items",F282&lt;=5,"4-5 Items",TRUE,"6+ Items")</f>
        <v>2-3 Items</v>
      </c>
      <c r="O282" t="str">
        <f>TEXT(I282,"mmm")</f>
        <v>Apr</v>
      </c>
      <c r="P282">
        <f>MONTH(I282)</f>
        <v>4</v>
      </c>
      <c r="Q282">
        <f>YEAR(I282)</f>
        <v>2022</v>
      </c>
      <c r="R282" t="str">
        <f>IF(K282&gt;=5000,"High Value","Regular")</f>
        <v>Regular</v>
      </c>
      <c r="S282" t="str">
        <f>IF(F282&gt;=4,"Bulk Order","Normal Order")</f>
        <v>Normal Order</v>
      </c>
    </row>
    <row r="283" spans="1:19" x14ac:dyDescent="0.3">
      <c r="A283" t="s">
        <v>458</v>
      </c>
      <c r="B283" t="s">
        <v>457</v>
      </c>
      <c r="C283" t="s">
        <v>3</v>
      </c>
      <c r="D283">
        <v>66</v>
      </c>
      <c r="E283" t="s">
        <v>8</v>
      </c>
      <c r="F283">
        <v>5</v>
      </c>
      <c r="G283">
        <v>1500.4</v>
      </c>
      <c r="H283" t="s">
        <v>15</v>
      </c>
      <c r="I283" s="1">
        <v>44596</v>
      </c>
      <c r="J283" t="s">
        <v>97</v>
      </c>
      <c r="K283">
        <f>F283*G283</f>
        <v>7502</v>
      </c>
      <c r="L283" t="str">
        <f>_xlfn.IFS(D283&lt;20,"Below 20",D283&lt;=30,"20-30",D283&lt;=40,"31-40",D283&lt;=50,"41-50",D283&lt;=60,"51-60",TRUE,"60+")</f>
        <v>60+</v>
      </c>
      <c r="M283" t="str">
        <f>_xlfn.IFS(K283&lt;500,"Low Spend",K283&lt;=2000,"Medium Spend",K283&lt;=5000,"High Spend",TRUE,"Premium Spend")</f>
        <v>Premium Spend</v>
      </c>
      <c r="N283" t="str">
        <f>_xlfn.IFS(F283=1,"1 Item",F283&lt;=3,"2-3 Items",F283&lt;=5,"4-5 Items",TRUE,"6+ Items")</f>
        <v>4-5 Items</v>
      </c>
      <c r="O283" t="str">
        <f>TEXT(I283,"mmm")</f>
        <v>Feb</v>
      </c>
      <c r="P283">
        <f>MONTH(I283)</f>
        <v>2</v>
      </c>
      <c r="Q283">
        <f>YEAR(I283)</f>
        <v>2022</v>
      </c>
      <c r="R283" t="str">
        <f>IF(K283&gt;=5000,"High Value","Regular")</f>
        <v>High Value</v>
      </c>
      <c r="S283" t="str">
        <f>IF(F283&gt;=4,"Bulk Order","Normal Order")</f>
        <v>Bulk Order</v>
      </c>
    </row>
    <row r="284" spans="1:19" x14ac:dyDescent="0.3">
      <c r="A284" t="s">
        <v>456</v>
      </c>
      <c r="B284" t="s">
        <v>455</v>
      </c>
      <c r="C284" t="s">
        <v>12</v>
      </c>
      <c r="D284">
        <v>69</v>
      </c>
      <c r="E284" t="s">
        <v>23</v>
      </c>
      <c r="F284">
        <v>4</v>
      </c>
      <c r="G284">
        <v>46.92</v>
      </c>
      <c r="H284" t="s">
        <v>15</v>
      </c>
      <c r="I284" s="1">
        <v>44738</v>
      </c>
      <c r="J284" t="s">
        <v>107</v>
      </c>
      <c r="K284">
        <f>F284*G284</f>
        <v>187.68</v>
      </c>
      <c r="L284" t="str">
        <f>_xlfn.IFS(D284&lt;20,"Below 20",D284&lt;=30,"20-30",D284&lt;=40,"31-40",D284&lt;=50,"41-50",D284&lt;=60,"51-60",TRUE,"60+")</f>
        <v>60+</v>
      </c>
      <c r="M284" t="str">
        <f>_xlfn.IFS(K284&lt;500,"Low Spend",K284&lt;=2000,"Medium Spend",K284&lt;=5000,"High Spend",TRUE,"Premium Spend")</f>
        <v>Low Spend</v>
      </c>
      <c r="N284" t="str">
        <f>_xlfn.IFS(F284=1,"1 Item",F284&lt;=3,"2-3 Items",F284&lt;=5,"4-5 Items",TRUE,"6+ Items")</f>
        <v>4-5 Items</v>
      </c>
      <c r="O284" t="str">
        <f>TEXT(I284,"mmm")</f>
        <v>Jun</v>
      </c>
      <c r="P284">
        <f>MONTH(I284)</f>
        <v>6</v>
      </c>
      <c r="Q284">
        <f>YEAR(I284)</f>
        <v>2022</v>
      </c>
      <c r="R284" t="str">
        <f>IF(K284&gt;=5000,"High Value","Regular")</f>
        <v>Regular</v>
      </c>
      <c r="S284" t="str">
        <f>IF(F284&gt;=4,"Bulk Order","Normal Order")</f>
        <v>Bulk Order</v>
      </c>
    </row>
    <row r="285" spans="1:19" x14ac:dyDescent="0.3">
      <c r="A285" t="s">
        <v>454</v>
      </c>
      <c r="B285" t="s">
        <v>453</v>
      </c>
      <c r="C285" t="s">
        <v>12</v>
      </c>
      <c r="D285">
        <v>27</v>
      </c>
      <c r="E285" t="s">
        <v>16</v>
      </c>
      <c r="F285">
        <v>5</v>
      </c>
      <c r="G285">
        <v>26.15</v>
      </c>
      <c r="H285" t="s">
        <v>15</v>
      </c>
      <c r="I285" s="1">
        <v>44767</v>
      </c>
      <c r="J285" t="s">
        <v>22</v>
      </c>
      <c r="K285">
        <f>F285*G285</f>
        <v>130.75</v>
      </c>
      <c r="L285" t="str">
        <f>_xlfn.IFS(D285&lt;20,"Below 20",D285&lt;=30,"20-30",D285&lt;=40,"31-40",D285&lt;=50,"41-50",D285&lt;=60,"51-60",TRUE,"60+")</f>
        <v>20-30</v>
      </c>
      <c r="M285" t="str">
        <f>_xlfn.IFS(K285&lt;500,"Low Spend",K285&lt;=2000,"Medium Spend",K285&lt;=5000,"High Spend",TRUE,"Premium Spend")</f>
        <v>Low Spend</v>
      </c>
      <c r="N285" t="str">
        <f>_xlfn.IFS(F285=1,"1 Item",F285&lt;=3,"2-3 Items",F285&lt;=5,"4-5 Items",TRUE,"6+ Items")</f>
        <v>4-5 Items</v>
      </c>
      <c r="O285" t="str">
        <f>TEXT(I285,"mmm")</f>
        <v>Jul</v>
      </c>
      <c r="P285">
        <f>MONTH(I285)</f>
        <v>7</v>
      </c>
      <c r="Q285">
        <f>YEAR(I285)</f>
        <v>2022</v>
      </c>
      <c r="R285" t="str">
        <f>IF(K285&gt;=5000,"High Value","Regular")</f>
        <v>Regular</v>
      </c>
      <c r="S285" t="str">
        <f>IF(F285&gt;=4,"Bulk Order","Normal Order")</f>
        <v>Bulk Order</v>
      </c>
    </row>
    <row r="286" spans="1:19" x14ac:dyDescent="0.3">
      <c r="A286" t="s">
        <v>452</v>
      </c>
      <c r="B286" t="s">
        <v>451</v>
      </c>
      <c r="C286" t="s">
        <v>3</v>
      </c>
      <c r="D286">
        <v>52</v>
      </c>
      <c r="E286" t="s">
        <v>2</v>
      </c>
      <c r="F286">
        <v>1</v>
      </c>
      <c r="G286">
        <v>35.840000000000003</v>
      </c>
      <c r="H286" t="s">
        <v>1</v>
      </c>
      <c r="I286" s="1">
        <v>44458</v>
      </c>
      <c r="J286" t="s">
        <v>107</v>
      </c>
      <c r="K286">
        <f>F286*G286</f>
        <v>35.840000000000003</v>
      </c>
      <c r="L286" t="str">
        <f>_xlfn.IFS(D286&lt;20,"Below 20",D286&lt;=30,"20-30",D286&lt;=40,"31-40",D286&lt;=50,"41-50",D286&lt;=60,"51-60",TRUE,"60+")</f>
        <v>51-60</v>
      </c>
      <c r="M286" t="str">
        <f>_xlfn.IFS(K286&lt;500,"Low Spend",K286&lt;=2000,"Medium Spend",K286&lt;=5000,"High Spend",TRUE,"Premium Spend")</f>
        <v>Low Spend</v>
      </c>
      <c r="N286" t="str">
        <f>_xlfn.IFS(F286=1,"1 Item",F286&lt;=3,"2-3 Items",F286&lt;=5,"4-5 Items",TRUE,"6+ Items")</f>
        <v>1 Item</v>
      </c>
      <c r="O286" t="str">
        <f>TEXT(I286,"mmm")</f>
        <v>Sep</v>
      </c>
      <c r="P286">
        <f>MONTH(I286)</f>
        <v>9</v>
      </c>
      <c r="Q286">
        <f>YEAR(I286)</f>
        <v>2021</v>
      </c>
      <c r="R286" t="str">
        <f>IF(K286&gt;=5000,"High Value","Regular")</f>
        <v>Regular</v>
      </c>
      <c r="S286" t="str">
        <f>IF(F286&gt;=4,"Bulk Order","Normal Order")</f>
        <v>Normal Order</v>
      </c>
    </row>
    <row r="287" spans="1:19" x14ac:dyDescent="0.3">
      <c r="A287" t="s">
        <v>450</v>
      </c>
      <c r="B287" t="s">
        <v>449</v>
      </c>
      <c r="C287" t="s">
        <v>3</v>
      </c>
      <c r="D287">
        <v>27</v>
      </c>
      <c r="E287" t="s">
        <v>8</v>
      </c>
      <c r="F287">
        <v>2</v>
      </c>
      <c r="G287">
        <v>600.16</v>
      </c>
      <c r="H287" t="s">
        <v>15</v>
      </c>
      <c r="I287" s="1">
        <v>44844</v>
      </c>
      <c r="J287" t="s">
        <v>0</v>
      </c>
      <c r="K287">
        <f>F287*G287</f>
        <v>1200.32</v>
      </c>
      <c r="L287" t="str">
        <f>_xlfn.IFS(D287&lt;20,"Below 20",D287&lt;=30,"20-30",D287&lt;=40,"31-40",D287&lt;=50,"41-50",D287&lt;=60,"51-60",TRUE,"60+")</f>
        <v>20-30</v>
      </c>
      <c r="M287" t="str">
        <f>_xlfn.IFS(K287&lt;500,"Low Spend",K287&lt;=2000,"Medium Spend",K287&lt;=5000,"High Spend",TRUE,"Premium Spend")</f>
        <v>Medium Spend</v>
      </c>
      <c r="N287" t="str">
        <f>_xlfn.IFS(F287=1,"1 Item",F287&lt;=3,"2-3 Items",F287&lt;=5,"4-5 Items",TRUE,"6+ Items")</f>
        <v>2-3 Items</v>
      </c>
      <c r="O287" t="str">
        <f>TEXT(I287,"mmm")</f>
        <v>Oct</v>
      </c>
      <c r="P287">
        <f>MONTH(I287)</f>
        <v>10</v>
      </c>
      <c r="Q287">
        <f>YEAR(I287)</f>
        <v>2022</v>
      </c>
      <c r="R287" t="str">
        <f>IF(K287&gt;=5000,"High Value","Regular")</f>
        <v>Regular</v>
      </c>
      <c r="S287" t="str">
        <f>IF(F287&gt;=4,"Bulk Order","Normal Order")</f>
        <v>Normal Order</v>
      </c>
    </row>
    <row r="288" spans="1:19" x14ac:dyDescent="0.3">
      <c r="A288" t="s">
        <v>448</v>
      </c>
      <c r="B288" t="s">
        <v>447</v>
      </c>
      <c r="C288" t="s">
        <v>3</v>
      </c>
      <c r="D288">
        <v>43</v>
      </c>
      <c r="E288" t="s">
        <v>112</v>
      </c>
      <c r="F288">
        <v>2</v>
      </c>
      <c r="G288">
        <v>2100</v>
      </c>
      <c r="H288" t="s">
        <v>1</v>
      </c>
      <c r="I288" s="1">
        <v>44649</v>
      </c>
      <c r="J288" t="s">
        <v>97</v>
      </c>
      <c r="K288">
        <f>F288*G288</f>
        <v>4200</v>
      </c>
      <c r="L288" t="str">
        <f>_xlfn.IFS(D288&lt;20,"Below 20",D288&lt;=30,"20-30",D288&lt;=40,"31-40",D288&lt;=50,"41-50",D288&lt;=60,"51-60",TRUE,"60+")</f>
        <v>41-50</v>
      </c>
      <c r="M288" t="str">
        <f>_xlfn.IFS(K288&lt;500,"Low Spend",K288&lt;=2000,"Medium Spend",K288&lt;=5000,"High Spend",TRUE,"Premium Spend")</f>
        <v>High Spend</v>
      </c>
      <c r="N288" t="str">
        <f>_xlfn.IFS(F288=1,"1 Item",F288&lt;=3,"2-3 Items",F288&lt;=5,"4-5 Items",TRUE,"6+ Items")</f>
        <v>2-3 Items</v>
      </c>
      <c r="O288" t="str">
        <f>TEXT(I288,"mmm")</f>
        <v>Mar</v>
      </c>
      <c r="P288">
        <f>MONTH(I288)</f>
        <v>3</v>
      </c>
      <c r="Q288">
        <f>YEAR(I288)</f>
        <v>2022</v>
      </c>
      <c r="R288" t="str">
        <f>IF(K288&gt;=5000,"High Value","Regular")</f>
        <v>Regular</v>
      </c>
      <c r="S288" t="str">
        <f>IF(F288&gt;=4,"Bulk Order","Normal Order")</f>
        <v>Normal Order</v>
      </c>
    </row>
    <row r="289" spans="1:19" x14ac:dyDescent="0.3">
      <c r="A289" t="s">
        <v>446</v>
      </c>
      <c r="B289" t="s">
        <v>445</v>
      </c>
      <c r="C289" t="s">
        <v>12</v>
      </c>
      <c r="D289">
        <v>36</v>
      </c>
      <c r="E289" t="s">
        <v>8</v>
      </c>
      <c r="F289">
        <v>1</v>
      </c>
      <c r="G289">
        <v>300.08</v>
      </c>
      <c r="H289" t="s">
        <v>15</v>
      </c>
      <c r="I289" s="1">
        <v>44386</v>
      </c>
      <c r="J289" t="s">
        <v>38</v>
      </c>
      <c r="K289">
        <f>F289*G289</f>
        <v>300.08</v>
      </c>
      <c r="L289" t="str">
        <f>_xlfn.IFS(D289&lt;20,"Below 20",D289&lt;=30,"20-30",D289&lt;=40,"31-40",D289&lt;=50,"41-50",D289&lt;=60,"51-60",TRUE,"60+")</f>
        <v>31-40</v>
      </c>
      <c r="M289" t="str">
        <f>_xlfn.IFS(K289&lt;500,"Low Spend",K289&lt;=2000,"Medium Spend",K289&lt;=5000,"High Spend",TRUE,"Premium Spend")</f>
        <v>Low Spend</v>
      </c>
      <c r="N289" t="str">
        <f>_xlfn.IFS(F289=1,"1 Item",F289&lt;=3,"2-3 Items",F289&lt;=5,"4-5 Items",TRUE,"6+ Items")</f>
        <v>1 Item</v>
      </c>
      <c r="O289" t="str">
        <f>TEXT(I289,"mmm")</f>
        <v>Jul</v>
      </c>
      <c r="P289">
        <f>MONTH(I289)</f>
        <v>7</v>
      </c>
      <c r="Q289">
        <f>YEAR(I289)</f>
        <v>2021</v>
      </c>
      <c r="R289" t="str">
        <f>IF(K289&gt;=5000,"High Value","Regular")</f>
        <v>Regular</v>
      </c>
      <c r="S289" t="str">
        <f>IF(F289&gt;=4,"Bulk Order","Normal Order")</f>
        <v>Normal Order</v>
      </c>
    </row>
    <row r="290" spans="1:19" x14ac:dyDescent="0.3">
      <c r="A290" t="s">
        <v>444</v>
      </c>
      <c r="B290" t="s">
        <v>443</v>
      </c>
      <c r="C290" t="s">
        <v>3</v>
      </c>
      <c r="D290">
        <v>19</v>
      </c>
      <c r="E290" t="s">
        <v>23</v>
      </c>
      <c r="F290">
        <v>1</v>
      </c>
      <c r="G290">
        <v>11.73</v>
      </c>
      <c r="H290" t="s">
        <v>15</v>
      </c>
      <c r="I290" s="1">
        <v>44586</v>
      </c>
      <c r="J290" t="s">
        <v>28</v>
      </c>
      <c r="K290">
        <f>F290*G290</f>
        <v>11.73</v>
      </c>
      <c r="L290" t="str">
        <f>_xlfn.IFS(D290&lt;20,"Below 20",D290&lt;=30,"20-30",D290&lt;=40,"31-40",D290&lt;=50,"41-50",D290&lt;=60,"51-60",TRUE,"60+")</f>
        <v>Below 20</v>
      </c>
      <c r="M290" t="str">
        <f>_xlfn.IFS(K290&lt;500,"Low Spend",K290&lt;=2000,"Medium Spend",K290&lt;=5000,"High Spend",TRUE,"Premium Spend")</f>
        <v>Low Spend</v>
      </c>
      <c r="N290" t="str">
        <f>_xlfn.IFS(F290=1,"1 Item",F290&lt;=3,"2-3 Items",F290&lt;=5,"4-5 Items",TRUE,"6+ Items")</f>
        <v>1 Item</v>
      </c>
      <c r="O290" t="str">
        <f>TEXT(I290,"mmm")</f>
        <v>Jan</v>
      </c>
      <c r="P290">
        <f>MONTH(I290)</f>
        <v>1</v>
      </c>
      <c r="Q290">
        <f>YEAR(I290)</f>
        <v>2022</v>
      </c>
      <c r="R290" t="str">
        <f>IF(K290&gt;=5000,"High Value","Regular")</f>
        <v>Regular</v>
      </c>
      <c r="S290" t="str">
        <f>IF(F290&gt;=4,"Bulk Order","Normal Order")</f>
        <v>Normal Order</v>
      </c>
    </row>
    <row r="291" spans="1:19" x14ac:dyDescent="0.3">
      <c r="A291" t="s">
        <v>442</v>
      </c>
      <c r="B291" t="s">
        <v>441</v>
      </c>
      <c r="C291" t="s">
        <v>12</v>
      </c>
      <c r="D291">
        <v>21</v>
      </c>
      <c r="E291" t="s">
        <v>61</v>
      </c>
      <c r="F291">
        <v>5</v>
      </c>
      <c r="G291">
        <v>75.75</v>
      </c>
      <c r="H291" t="s">
        <v>15</v>
      </c>
      <c r="I291" s="1">
        <v>44544</v>
      </c>
      <c r="J291" t="s">
        <v>11</v>
      </c>
      <c r="K291">
        <f>F291*G291</f>
        <v>378.75</v>
      </c>
      <c r="L291" t="str">
        <f>_xlfn.IFS(D291&lt;20,"Below 20",D291&lt;=30,"20-30",D291&lt;=40,"31-40",D291&lt;=50,"41-50",D291&lt;=60,"51-60",TRUE,"60+")</f>
        <v>20-30</v>
      </c>
      <c r="M291" t="str">
        <f>_xlfn.IFS(K291&lt;500,"Low Spend",K291&lt;=2000,"Medium Spend",K291&lt;=5000,"High Spend",TRUE,"Premium Spend")</f>
        <v>Low Spend</v>
      </c>
      <c r="N291" t="str">
        <f>_xlfn.IFS(F291=1,"1 Item",F291&lt;=3,"2-3 Items",F291&lt;=5,"4-5 Items",TRUE,"6+ Items")</f>
        <v>4-5 Items</v>
      </c>
      <c r="O291" t="str">
        <f>TEXT(I291,"mmm")</f>
        <v>Dec</v>
      </c>
      <c r="P291">
        <f>MONTH(I291)</f>
        <v>12</v>
      </c>
      <c r="Q291">
        <f>YEAR(I291)</f>
        <v>2021</v>
      </c>
      <c r="R291" t="str">
        <f>IF(K291&gt;=5000,"High Value","Regular")</f>
        <v>Regular</v>
      </c>
      <c r="S291" t="str">
        <f>IF(F291&gt;=4,"Bulk Order","Normal Order")</f>
        <v>Bulk Order</v>
      </c>
    </row>
    <row r="292" spans="1:19" x14ac:dyDescent="0.3">
      <c r="A292" t="s">
        <v>440</v>
      </c>
      <c r="B292" t="s">
        <v>439</v>
      </c>
      <c r="C292" t="s">
        <v>12</v>
      </c>
      <c r="D292">
        <v>20</v>
      </c>
      <c r="E292" t="s">
        <v>8</v>
      </c>
      <c r="F292">
        <v>1</v>
      </c>
      <c r="G292">
        <v>300.08</v>
      </c>
      <c r="H292" t="s">
        <v>15</v>
      </c>
      <c r="I292" s="1">
        <v>44808</v>
      </c>
      <c r="J292" t="s">
        <v>28</v>
      </c>
      <c r="K292">
        <f>F292*G292</f>
        <v>300.08</v>
      </c>
      <c r="L292" t="str">
        <f>_xlfn.IFS(D292&lt;20,"Below 20",D292&lt;=30,"20-30",D292&lt;=40,"31-40",D292&lt;=50,"41-50",D292&lt;=60,"51-60",TRUE,"60+")</f>
        <v>20-30</v>
      </c>
      <c r="M292" t="str">
        <f>_xlfn.IFS(K292&lt;500,"Low Spend",K292&lt;=2000,"Medium Spend",K292&lt;=5000,"High Spend",TRUE,"Premium Spend")</f>
        <v>Low Spend</v>
      </c>
      <c r="N292" t="str">
        <f>_xlfn.IFS(F292=1,"1 Item",F292&lt;=3,"2-3 Items",F292&lt;=5,"4-5 Items",TRUE,"6+ Items")</f>
        <v>1 Item</v>
      </c>
      <c r="O292" t="str">
        <f>TEXT(I292,"mmm")</f>
        <v>Sep</v>
      </c>
      <c r="P292">
        <f>MONTH(I292)</f>
        <v>9</v>
      </c>
      <c r="Q292">
        <f>YEAR(I292)</f>
        <v>2022</v>
      </c>
      <c r="R292" t="str">
        <f>IF(K292&gt;=5000,"High Value","Regular")</f>
        <v>Regular</v>
      </c>
      <c r="S292" t="str">
        <f>IF(F292&gt;=4,"Bulk Order","Normal Order")</f>
        <v>Normal Order</v>
      </c>
    </row>
    <row r="293" spans="1:19" x14ac:dyDescent="0.3">
      <c r="A293" t="s">
        <v>438</v>
      </c>
      <c r="B293" t="s">
        <v>437</v>
      </c>
      <c r="C293" t="s">
        <v>3</v>
      </c>
      <c r="D293">
        <v>23</v>
      </c>
      <c r="E293" t="s">
        <v>2</v>
      </c>
      <c r="F293">
        <v>2</v>
      </c>
      <c r="G293">
        <v>71.680000000000007</v>
      </c>
      <c r="H293" t="s">
        <v>7</v>
      </c>
      <c r="I293" s="1">
        <v>44787</v>
      </c>
      <c r="J293" t="s">
        <v>68</v>
      </c>
      <c r="K293">
        <f>F293*G293</f>
        <v>143.36000000000001</v>
      </c>
      <c r="L293" t="str">
        <f>_xlfn.IFS(D293&lt;20,"Below 20",D293&lt;=30,"20-30",D293&lt;=40,"31-40",D293&lt;=50,"41-50",D293&lt;=60,"51-60",TRUE,"60+")</f>
        <v>20-30</v>
      </c>
      <c r="M293" t="str">
        <f>_xlfn.IFS(K293&lt;500,"Low Spend",K293&lt;=2000,"Medium Spend",K293&lt;=5000,"High Spend",TRUE,"Premium Spend")</f>
        <v>Low Spend</v>
      </c>
      <c r="N293" t="str">
        <f>_xlfn.IFS(F293=1,"1 Item",F293&lt;=3,"2-3 Items",F293&lt;=5,"4-5 Items",TRUE,"6+ Items")</f>
        <v>2-3 Items</v>
      </c>
      <c r="O293" t="str">
        <f>TEXT(I293,"mmm")</f>
        <v>Aug</v>
      </c>
      <c r="P293">
        <f>MONTH(I293)</f>
        <v>8</v>
      </c>
      <c r="Q293">
        <f>YEAR(I293)</f>
        <v>2022</v>
      </c>
      <c r="R293" t="str">
        <f>IF(K293&gt;=5000,"High Value","Regular")</f>
        <v>Regular</v>
      </c>
      <c r="S293" t="str">
        <f>IF(F293&gt;=4,"Bulk Order","Normal Order")</f>
        <v>Normal Order</v>
      </c>
    </row>
    <row r="294" spans="1:19" x14ac:dyDescent="0.3">
      <c r="A294" t="s">
        <v>436</v>
      </c>
      <c r="B294" t="s">
        <v>435</v>
      </c>
      <c r="C294" t="s">
        <v>3</v>
      </c>
      <c r="D294">
        <v>52</v>
      </c>
      <c r="E294" t="s">
        <v>19</v>
      </c>
      <c r="F294">
        <v>2</v>
      </c>
      <c r="G294">
        <v>81.319999999999993</v>
      </c>
      <c r="H294" t="s">
        <v>15</v>
      </c>
      <c r="I294" s="1">
        <v>44595</v>
      </c>
      <c r="J294" t="s">
        <v>11</v>
      </c>
      <c r="K294">
        <f>F294*G294</f>
        <v>162.63999999999999</v>
      </c>
      <c r="L294" t="str">
        <f>_xlfn.IFS(D294&lt;20,"Below 20",D294&lt;=30,"20-30",D294&lt;=40,"31-40",D294&lt;=50,"41-50",D294&lt;=60,"51-60",TRUE,"60+")</f>
        <v>51-60</v>
      </c>
      <c r="M294" t="str">
        <f>_xlfn.IFS(K294&lt;500,"Low Spend",K294&lt;=2000,"Medium Spend",K294&lt;=5000,"High Spend",TRUE,"Premium Spend")</f>
        <v>Low Spend</v>
      </c>
      <c r="N294" t="str">
        <f>_xlfn.IFS(F294=1,"1 Item",F294&lt;=3,"2-3 Items",F294&lt;=5,"4-5 Items",TRUE,"6+ Items")</f>
        <v>2-3 Items</v>
      </c>
      <c r="O294" t="str">
        <f>TEXT(I294,"mmm")</f>
        <v>Feb</v>
      </c>
      <c r="P294">
        <f>MONTH(I294)</f>
        <v>2</v>
      </c>
      <c r="Q294">
        <f>YEAR(I294)</f>
        <v>2022</v>
      </c>
      <c r="R294" t="str">
        <f>IF(K294&gt;=5000,"High Value","Regular")</f>
        <v>Regular</v>
      </c>
      <c r="S294" t="str">
        <f>IF(F294&gt;=4,"Bulk Order","Normal Order")</f>
        <v>Normal Order</v>
      </c>
    </row>
    <row r="295" spans="1:19" x14ac:dyDescent="0.3">
      <c r="A295" t="s">
        <v>434</v>
      </c>
      <c r="B295" t="s">
        <v>433</v>
      </c>
      <c r="C295" t="s">
        <v>12</v>
      </c>
      <c r="D295">
        <v>24</v>
      </c>
      <c r="E295" t="s">
        <v>8</v>
      </c>
      <c r="F295">
        <v>4</v>
      </c>
      <c r="G295">
        <v>1200.32</v>
      </c>
      <c r="H295" t="s">
        <v>1</v>
      </c>
      <c r="I295" s="1">
        <v>44199</v>
      </c>
      <c r="J295" t="s">
        <v>28</v>
      </c>
      <c r="K295">
        <f>F295*G295</f>
        <v>4801.28</v>
      </c>
      <c r="L295" t="str">
        <f>_xlfn.IFS(D295&lt;20,"Below 20",D295&lt;=30,"20-30",D295&lt;=40,"31-40",D295&lt;=50,"41-50",D295&lt;=60,"51-60",TRUE,"60+")</f>
        <v>20-30</v>
      </c>
      <c r="M295" t="str">
        <f>_xlfn.IFS(K295&lt;500,"Low Spend",K295&lt;=2000,"Medium Spend",K295&lt;=5000,"High Spend",TRUE,"Premium Spend")</f>
        <v>High Spend</v>
      </c>
      <c r="N295" t="str">
        <f>_xlfn.IFS(F295=1,"1 Item",F295&lt;=3,"2-3 Items",F295&lt;=5,"4-5 Items",TRUE,"6+ Items")</f>
        <v>4-5 Items</v>
      </c>
      <c r="O295" t="str">
        <f>TEXT(I295,"mmm")</f>
        <v>Jan</v>
      </c>
      <c r="P295">
        <f>MONTH(I295)</f>
        <v>1</v>
      </c>
      <c r="Q295">
        <f>YEAR(I295)</f>
        <v>2021</v>
      </c>
      <c r="R295" t="str">
        <f>IF(K295&gt;=5000,"High Value","Regular")</f>
        <v>Regular</v>
      </c>
      <c r="S295" t="str">
        <f>IF(F295&gt;=4,"Bulk Order","Normal Order")</f>
        <v>Bulk Order</v>
      </c>
    </row>
    <row r="296" spans="1:19" x14ac:dyDescent="0.3">
      <c r="A296" t="s">
        <v>432</v>
      </c>
      <c r="B296" t="s">
        <v>431</v>
      </c>
      <c r="C296" t="s">
        <v>3</v>
      </c>
      <c r="D296">
        <v>20</v>
      </c>
      <c r="E296" t="s">
        <v>16</v>
      </c>
      <c r="F296">
        <v>5</v>
      </c>
      <c r="G296">
        <v>26.15</v>
      </c>
      <c r="H296" t="s">
        <v>1</v>
      </c>
      <c r="I296" s="1">
        <v>44535</v>
      </c>
      <c r="J296" t="s">
        <v>68</v>
      </c>
      <c r="K296">
        <f>F296*G296</f>
        <v>130.75</v>
      </c>
      <c r="L296" t="str">
        <f>_xlfn.IFS(D296&lt;20,"Below 20",D296&lt;=30,"20-30",D296&lt;=40,"31-40",D296&lt;=50,"41-50",D296&lt;=60,"51-60",TRUE,"60+")</f>
        <v>20-30</v>
      </c>
      <c r="M296" t="str">
        <f>_xlfn.IFS(K296&lt;500,"Low Spend",K296&lt;=2000,"Medium Spend",K296&lt;=5000,"High Spend",TRUE,"Premium Spend")</f>
        <v>Low Spend</v>
      </c>
      <c r="N296" t="str">
        <f>_xlfn.IFS(F296=1,"1 Item",F296&lt;=3,"2-3 Items",F296&lt;=5,"4-5 Items",TRUE,"6+ Items")</f>
        <v>4-5 Items</v>
      </c>
      <c r="O296" t="str">
        <f>TEXT(I296,"mmm")</f>
        <v>Dec</v>
      </c>
      <c r="P296">
        <f>MONTH(I296)</f>
        <v>12</v>
      </c>
      <c r="Q296">
        <f>YEAR(I296)</f>
        <v>2021</v>
      </c>
      <c r="R296" t="str">
        <f>IF(K296&gt;=5000,"High Value","Regular")</f>
        <v>Regular</v>
      </c>
      <c r="S296" t="str">
        <f>IF(F296&gt;=4,"Bulk Order","Normal Order")</f>
        <v>Bulk Order</v>
      </c>
    </row>
    <row r="297" spans="1:19" x14ac:dyDescent="0.3">
      <c r="A297" t="s">
        <v>430</v>
      </c>
      <c r="B297" t="s">
        <v>429</v>
      </c>
      <c r="C297" t="s">
        <v>12</v>
      </c>
      <c r="D297">
        <v>58</v>
      </c>
      <c r="E297" t="s">
        <v>2</v>
      </c>
      <c r="F297">
        <v>3</v>
      </c>
      <c r="G297">
        <v>107.52</v>
      </c>
      <c r="H297" t="s">
        <v>1</v>
      </c>
      <c r="I297" s="1">
        <v>44726</v>
      </c>
      <c r="J297" t="s">
        <v>107</v>
      </c>
      <c r="K297">
        <f>F297*G297</f>
        <v>322.56</v>
      </c>
      <c r="L297" t="str">
        <f>_xlfn.IFS(D297&lt;20,"Below 20",D297&lt;=30,"20-30",D297&lt;=40,"31-40",D297&lt;=50,"41-50",D297&lt;=60,"51-60",TRUE,"60+")</f>
        <v>51-60</v>
      </c>
      <c r="M297" t="str">
        <f>_xlfn.IFS(K297&lt;500,"Low Spend",K297&lt;=2000,"Medium Spend",K297&lt;=5000,"High Spend",TRUE,"Premium Spend")</f>
        <v>Low Spend</v>
      </c>
      <c r="N297" t="str">
        <f>_xlfn.IFS(F297=1,"1 Item",F297&lt;=3,"2-3 Items",F297&lt;=5,"4-5 Items",TRUE,"6+ Items")</f>
        <v>2-3 Items</v>
      </c>
      <c r="O297" t="str">
        <f>TEXT(I297,"mmm")</f>
        <v>Jun</v>
      </c>
      <c r="P297">
        <f>MONTH(I297)</f>
        <v>6</v>
      </c>
      <c r="Q297">
        <f>YEAR(I297)</f>
        <v>2022</v>
      </c>
      <c r="R297" t="str">
        <f>IF(K297&gt;=5000,"High Value","Regular")</f>
        <v>Regular</v>
      </c>
      <c r="S297" t="str">
        <f>IF(F297&gt;=4,"Bulk Order","Normal Order")</f>
        <v>Normal Order</v>
      </c>
    </row>
    <row r="298" spans="1:19" x14ac:dyDescent="0.3">
      <c r="A298" t="s">
        <v>428</v>
      </c>
      <c r="B298" t="s">
        <v>427</v>
      </c>
      <c r="C298" t="s">
        <v>12</v>
      </c>
      <c r="D298">
        <v>21</v>
      </c>
      <c r="E298" t="s">
        <v>8</v>
      </c>
      <c r="F298">
        <v>4</v>
      </c>
      <c r="G298">
        <v>1200.32</v>
      </c>
      <c r="H298" t="s">
        <v>7</v>
      </c>
      <c r="I298" s="1">
        <v>44421</v>
      </c>
      <c r="J298" t="s">
        <v>22</v>
      </c>
      <c r="K298">
        <f>F298*G298</f>
        <v>4801.28</v>
      </c>
      <c r="L298" t="str">
        <f>_xlfn.IFS(D298&lt;20,"Below 20",D298&lt;=30,"20-30",D298&lt;=40,"31-40",D298&lt;=50,"41-50",D298&lt;=60,"51-60",TRUE,"60+")</f>
        <v>20-30</v>
      </c>
      <c r="M298" t="str">
        <f>_xlfn.IFS(K298&lt;500,"Low Spend",K298&lt;=2000,"Medium Spend",K298&lt;=5000,"High Spend",TRUE,"Premium Spend")</f>
        <v>High Spend</v>
      </c>
      <c r="N298" t="str">
        <f>_xlfn.IFS(F298=1,"1 Item",F298&lt;=3,"2-3 Items",F298&lt;=5,"4-5 Items",TRUE,"6+ Items")</f>
        <v>4-5 Items</v>
      </c>
      <c r="O298" t="str">
        <f>TEXT(I298,"mmm")</f>
        <v>Aug</v>
      </c>
      <c r="P298">
        <f>MONTH(I298)</f>
        <v>8</v>
      </c>
      <c r="Q298">
        <f>YEAR(I298)</f>
        <v>2021</v>
      </c>
      <c r="R298" t="str">
        <f>IF(K298&gt;=5000,"High Value","Regular")</f>
        <v>Regular</v>
      </c>
      <c r="S298" t="str">
        <f>IF(F298&gt;=4,"Bulk Order","Normal Order")</f>
        <v>Bulk Order</v>
      </c>
    </row>
    <row r="299" spans="1:19" x14ac:dyDescent="0.3">
      <c r="A299" t="s">
        <v>426</v>
      </c>
      <c r="B299" t="s">
        <v>425</v>
      </c>
      <c r="C299" t="s">
        <v>12</v>
      </c>
      <c r="D299">
        <v>35</v>
      </c>
      <c r="E299" t="s">
        <v>31</v>
      </c>
      <c r="F299">
        <v>2</v>
      </c>
      <c r="G299">
        <v>1200.3399999999999</v>
      </c>
      <c r="H299" t="s">
        <v>15</v>
      </c>
      <c r="I299" s="1">
        <v>44572</v>
      </c>
      <c r="J299" t="s">
        <v>0</v>
      </c>
      <c r="K299">
        <f>F299*G299</f>
        <v>2400.6799999999998</v>
      </c>
      <c r="L299" t="str">
        <f>_xlfn.IFS(D299&lt;20,"Below 20",D299&lt;=30,"20-30",D299&lt;=40,"31-40",D299&lt;=50,"41-50",D299&lt;=60,"51-60",TRUE,"60+")</f>
        <v>31-40</v>
      </c>
      <c r="M299" t="str">
        <f>_xlfn.IFS(K299&lt;500,"Low Spend",K299&lt;=2000,"Medium Spend",K299&lt;=5000,"High Spend",TRUE,"Premium Spend")</f>
        <v>High Spend</v>
      </c>
      <c r="N299" t="str">
        <f>_xlfn.IFS(F299=1,"1 Item",F299&lt;=3,"2-3 Items",F299&lt;=5,"4-5 Items",TRUE,"6+ Items")</f>
        <v>2-3 Items</v>
      </c>
      <c r="O299" t="str">
        <f>TEXT(I299,"mmm")</f>
        <v>Jan</v>
      </c>
      <c r="P299">
        <f>MONTH(I299)</f>
        <v>1</v>
      </c>
      <c r="Q299">
        <f>YEAR(I299)</f>
        <v>2022</v>
      </c>
      <c r="R299" t="str">
        <f>IF(K299&gt;=5000,"High Value","Regular")</f>
        <v>Regular</v>
      </c>
      <c r="S299" t="str">
        <f>IF(F299&gt;=4,"Bulk Order","Normal Order")</f>
        <v>Normal Order</v>
      </c>
    </row>
    <row r="300" spans="1:19" x14ac:dyDescent="0.3">
      <c r="A300" t="s">
        <v>424</v>
      </c>
      <c r="B300" t="s">
        <v>423</v>
      </c>
      <c r="C300" t="s">
        <v>3</v>
      </c>
      <c r="D300">
        <v>29</v>
      </c>
      <c r="E300" t="s">
        <v>19</v>
      </c>
      <c r="F300">
        <v>3</v>
      </c>
      <c r="G300">
        <v>121.98</v>
      </c>
      <c r="H300" t="s">
        <v>15</v>
      </c>
      <c r="I300" s="1">
        <v>44552</v>
      </c>
      <c r="J300" t="s">
        <v>28</v>
      </c>
      <c r="K300">
        <f>F300*G300</f>
        <v>365.94</v>
      </c>
      <c r="L300" t="str">
        <f>_xlfn.IFS(D300&lt;20,"Below 20",D300&lt;=30,"20-30",D300&lt;=40,"31-40",D300&lt;=50,"41-50",D300&lt;=60,"51-60",TRUE,"60+")</f>
        <v>20-30</v>
      </c>
      <c r="M300" t="str">
        <f>_xlfn.IFS(K300&lt;500,"Low Spend",K300&lt;=2000,"Medium Spend",K300&lt;=5000,"High Spend",TRUE,"Premium Spend")</f>
        <v>Low Spend</v>
      </c>
      <c r="N300" t="str">
        <f>_xlfn.IFS(F300=1,"1 Item",F300&lt;=3,"2-3 Items",F300&lt;=5,"4-5 Items",TRUE,"6+ Items")</f>
        <v>2-3 Items</v>
      </c>
      <c r="O300" t="str">
        <f>TEXT(I300,"mmm")</f>
        <v>Dec</v>
      </c>
      <c r="P300">
        <f>MONTH(I300)</f>
        <v>12</v>
      </c>
      <c r="Q300">
        <f>YEAR(I300)</f>
        <v>2021</v>
      </c>
      <c r="R300" t="str">
        <f>IF(K300&gt;=5000,"High Value","Regular")</f>
        <v>Regular</v>
      </c>
      <c r="S300" t="str">
        <f>IF(F300&gt;=4,"Bulk Order","Normal Order")</f>
        <v>Normal Order</v>
      </c>
    </row>
    <row r="301" spans="1:19" x14ac:dyDescent="0.3">
      <c r="A301" t="s">
        <v>422</v>
      </c>
      <c r="B301" t="s">
        <v>421</v>
      </c>
      <c r="C301" t="s">
        <v>12</v>
      </c>
      <c r="D301">
        <v>68</v>
      </c>
      <c r="E301" t="s">
        <v>19</v>
      </c>
      <c r="F301">
        <v>2</v>
      </c>
      <c r="G301">
        <v>81.319999999999993</v>
      </c>
      <c r="H301" t="s">
        <v>1</v>
      </c>
      <c r="I301" s="1">
        <v>44231</v>
      </c>
      <c r="J301" t="s">
        <v>97</v>
      </c>
      <c r="K301">
        <f>F301*G301</f>
        <v>162.63999999999999</v>
      </c>
      <c r="L301" t="str">
        <f>_xlfn.IFS(D301&lt;20,"Below 20",D301&lt;=30,"20-30",D301&lt;=40,"31-40",D301&lt;=50,"41-50",D301&lt;=60,"51-60",TRUE,"60+")</f>
        <v>60+</v>
      </c>
      <c r="M301" t="str">
        <f>_xlfn.IFS(K301&lt;500,"Low Spend",K301&lt;=2000,"Medium Spend",K301&lt;=5000,"High Spend",TRUE,"Premium Spend")</f>
        <v>Low Spend</v>
      </c>
      <c r="N301" t="str">
        <f>_xlfn.IFS(F301=1,"1 Item",F301&lt;=3,"2-3 Items",F301&lt;=5,"4-5 Items",TRUE,"6+ Items")</f>
        <v>2-3 Items</v>
      </c>
      <c r="O301" t="str">
        <f>TEXT(I301,"mmm")</f>
        <v>Feb</v>
      </c>
      <c r="P301">
        <f>MONTH(I301)</f>
        <v>2</v>
      </c>
      <c r="Q301">
        <f>YEAR(I301)</f>
        <v>2021</v>
      </c>
      <c r="R301" t="str">
        <f>IF(K301&gt;=5000,"High Value","Regular")</f>
        <v>Regular</v>
      </c>
      <c r="S301" t="str">
        <f>IF(F301&gt;=4,"Bulk Order","Normal Order")</f>
        <v>Normal Order</v>
      </c>
    </row>
    <row r="302" spans="1:19" x14ac:dyDescent="0.3">
      <c r="A302" t="s">
        <v>420</v>
      </c>
      <c r="B302" t="s">
        <v>419</v>
      </c>
      <c r="C302" t="s">
        <v>3</v>
      </c>
      <c r="D302">
        <v>50</v>
      </c>
      <c r="E302" t="s">
        <v>19</v>
      </c>
      <c r="F302">
        <v>3</v>
      </c>
      <c r="G302">
        <v>121.98</v>
      </c>
      <c r="H302" t="s">
        <v>7</v>
      </c>
      <c r="I302" s="1">
        <v>44614</v>
      </c>
      <c r="J302" t="s">
        <v>38</v>
      </c>
      <c r="K302">
        <f>F302*G302</f>
        <v>365.94</v>
      </c>
      <c r="L302" t="str">
        <f>_xlfn.IFS(D302&lt;20,"Below 20",D302&lt;=30,"20-30",D302&lt;=40,"31-40",D302&lt;=50,"41-50",D302&lt;=60,"51-60",TRUE,"60+")</f>
        <v>41-50</v>
      </c>
      <c r="M302" t="str">
        <f>_xlfn.IFS(K302&lt;500,"Low Spend",K302&lt;=2000,"Medium Spend",K302&lt;=5000,"High Spend",TRUE,"Premium Spend")</f>
        <v>Low Spend</v>
      </c>
      <c r="N302" t="str">
        <f>_xlfn.IFS(F302=1,"1 Item",F302&lt;=3,"2-3 Items",F302&lt;=5,"4-5 Items",TRUE,"6+ Items")</f>
        <v>2-3 Items</v>
      </c>
      <c r="O302" t="str">
        <f>TEXT(I302,"mmm")</f>
        <v>Feb</v>
      </c>
      <c r="P302">
        <f>MONTH(I302)</f>
        <v>2</v>
      </c>
      <c r="Q302">
        <f>YEAR(I302)</f>
        <v>2022</v>
      </c>
      <c r="R302" t="str">
        <f>IF(K302&gt;=5000,"High Value","Regular")</f>
        <v>Regular</v>
      </c>
      <c r="S302" t="str">
        <f>IF(F302&gt;=4,"Bulk Order","Normal Order")</f>
        <v>Normal Order</v>
      </c>
    </row>
    <row r="303" spans="1:19" x14ac:dyDescent="0.3">
      <c r="A303" t="s">
        <v>418</v>
      </c>
      <c r="B303" t="s">
        <v>417</v>
      </c>
      <c r="C303" t="s">
        <v>3</v>
      </c>
      <c r="D303">
        <v>44</v>
      </c>
      <c r="E303" t="s">
        <v>2</v>
      </c>
      <c r="F303">
        <v>3</v>
      </c>
      <c r="G303">
        <v>107.52</v>
      </c>
      <c r="H303" t="s">
        <v>15</v>
      </c>
      <c r="I303" s="1">
        <v>44453</v>
      </c>
      <c r="J303" t="s">
        <v>28</v>
      </c>
      <c r="K303">
        <f>F303*G303</f>
        <v>322.56</v>
      </c>
      <c r="L303" t="str">
        <f>_xlfn.IFS(D303&lt;20,"Below 20",D303&lt;=30,"20-30",D303&lt;=40,"31-40",D303&lt;=50,"41-50",D303&lt;=60,"51-60",TRUE,"60+")</f>
        <v>41-50</v>
      </c>
      <c r="M303" t="str">
        <f>_xlfn.IFS(K303&lt;500,"Low Spend",K303&lt;=2000,"Medium Spend",K303&lt;=5000,"High Spend",TRUE,"Premium Spend")</f>
        <v>Low Spend</v>
      </c>
      <c r="N303" t="str">
        <f>_xlfn.IFS(F303=1,"1 Item",F303&lt;=3,"2-3 Items",F303&lt;=5,"4-5 Items",TRUE,"6+ Items")</f>
        <v>2-3 Items</v>
      </c>
      <c r="O303" t="str">
        <f>TEXT(I303,"mmm")</f>
        <v>Sep</v>
      </c>
      <c r="P303">
        <f>MONTH(I303)</f>
        <v>9</v>
      </c>
      <c r="Q303">
        <f>YEAR(I303)</f>
        <v>2021</v>
      </c>
      <c r="R303" t="str">
        <f>IF(K303&gt;=5000,"High Value","Regular")</f>
        <v>Regular</v>
      </c>
      <c r="S303" t="str">
        <f>IF(F303&gt;=4,"Bulk Order","Normal Order")</f>
        <v>Normal Order</v>
      </c>
    </row>
    <row r="304" spans="1:19" x14ac:dyDescent="0.3">
      <c r="A304" t="s">
        <v>416</v>
      </c>
      <c r="B304" t="s">
        <v>415</v>
      </c>
      <c r="C304" t="s">
        <v>3</v>
      </c>
      <c r="D304">
        <v>47</v>
      </c>
      <c r="E304" t="s">
        <v>8</v>
      </c>
      <c r="F304">
        <v>1</v>
      </c>
      <c r="G304">
        <v>300.08</v>
      </c>
      <c r="H304" t="s">
        <v>15</v>
      </c>
      <c r="I304" s="1">
        <v>44411</v>
      </c>
      <c r="J304" t="s">
        <v>102</v>
      </c>
      <c r="K304">
        <f>F304*G304</f>
        <v>300.08</v>
      </c>
      <c r="L304" t="str">
        <f>_xlfn.IFS(D304&lt;20,"Below 20",D304&lt;=30,"20-30",D304&lt;=40,"31-40",D304&lt;=50,"41-50",D304&lt;=60,"51-60",TRUE,"60+")</f>
        <v>41-50</v>
      </c>
      <c r="M304" t="str">
        <f>_xlfn.IFS(K304&lt;500,"Low Spend",K304&lt;=2000,"Medium Spend",K304&lt;=5000,"High Spend",TRUE,"Premium Spend")</f>
        <v>Low Spend</v>
      </c>
      <c r="N304" t="str">
        <f>_xlfn.IFS(F304=1,"1 Item",F304&lt;=3,"2-3 Items",F304&lt;=5,"4-5 Items",TRUE,"6+ Items")</f>
        <v>1 Item</v>
      </c>
      <c r="O304" t="str">
        <f>TEXT(I304,"mmm")</f>
        <v>Aug</v>
      </c>
      <c r="P304">
        <f>MONTH(I304)</f>
        <v>8</v>
      </c>
      <c r="Q304">
        <f>YEAR(I304)</f>
        <v>2021</v>
      </c>
      <c r="R304" t="str">
        <f>IF(K304&gt;=5000,"High Value","Regular")</f>
        <v>Regular</v>
      </c>
      <c r="S304" t="str">
        <f>IF(F304&gt;=4,"Bulk Order","Normal Order")</f>
        <v>Normal Order</v>
      </c>
    </row>
    <row r="305" spans="1:19" x14ac:dyDescent="0.3">
      <c r="A305" t="s">
        <v>414</v>
      </c>
      <c r="B305" t="s">
        <v>413</v>
      </c>
      <c r="C305" t="s">
        <v>3</v>
      </c>
      <c r="D305">
        <v>48</v>
      </c>
      <c r="E305" t="s">
        <v>23</v>
      </c>
      <c r="F305">
        <v>4</v>
      </c>
      <c r="G305">
        <v>46.92</v>
      </c>
      <c r="H305" t="s">
        <v>15</v>
      </c>
      <c r="I305" s="1">
        <v>44928</v>
      </c>
      <c r="J305" t="s">
        <v>11</v>
      </c>
      <c r="K305">
        <f>F305*G305</f>
        <v>187.68</v>
      </c>
      <c r="L305" t="str">
        <f>_xlfn.IFS(D305&lt;20,"Below 20",D305&lt;=30,"20-30",D305&lt;=40,"31-40",D305&lt;=50,"41-50",D305&lt;=60,"51-60",TRUE,"60+")</f>
        <v>41-50</v>
      </c>
      <c r="M305" t="str">
        <f>_xlfn.IFS(K305&lt;500,"Low Spend",K305&lt;=2000,"Medium Spend",K305&lt;=5000,"High Spend",TRUE,"Premium Spend")</f>
        <v>Low Spend</v>
      </c>
      <c r="N305" t="str">
        <f>_xlfn.IFS(F305=1,"1 Item",F305&lt;=3,"2-3 Items",F305&lt;=5,"4-5 Items",TRUE,"6+ Items")</f>
        <v>4-5 Items</v>
      </c>
      <c r="O305" t="str">
        <f>TEXT(I305,"mmm")</f>
        <v>Jan</v>
      </c>
      <c r="P305">
        <f>MONTH(I305)</f>
        <v>1</v>
      </c>
      <c r="Q305">
        <f>YEAR(I305)</f>
        <v>2023</v>
      </c>
      <c r="R305" t="str">
        <f>IF(K305&gt;=5000,"High Value","Regular")</f>
        <v>Regular</v>
      </c>
      <c r="S305" t="str">
        <f>IF(F305&gt;=4,"Bulk Order","Normal Order")</f>
        <v>Bulk Order</v>
      </c>
    </row>
    <row r="306" spans="1:19" x14ac:dyDescent="0.3">
      <c r="A306" t="s">
        <v>412</v>
      </c>
      <c r="B306" t="s">
        <v>411</v>
      </c>
      <c r="C306" t="s">
        <v>3</v>
      </c>
      <c r="D306">
        <v>39</v>
      </c>
      <c r="E306" t="s">
        <v>2</v>
      </c>
      <c r="F306">
        <v>1</v>
      </c>
      <c r="G306">
        <v>35.840000000000003</v>
      </c>
      <c r="H306" t="s">
        <v>1</v>
      </c>
      <c r="I306" s="1">
        <v>44888</v>
      </c>
      <c r="J306" t="s">
        <v>22</v>
      </c>
      <c r="K306">
        <f>F306*G306</f>
        <v>35.840000000000003</v>
      </c>
      <c r="L306" t="str">
        <f>_xlfn.IFS(D306&lt;20,"Below 20",D306&lt;=30,"20-30",D306&lt;=40,"31-40",D306&lt;=50,"41-50",D306&lt;=60,"51-60",TRUE,"60+")</f>
        <v>31-40</v>
      </c>
      <c r="M306" t="str">
        <f>_xlfn.IFS(K306&lt;500,"Low Spend",K306&lt;=2000,"Medium Spend",K306&lt;=5000,"High Spend",TRUE,"Premium Spend")</f>
        <v>Low Spend</v>
      </c>
      <c r="N306" t="str">
        <f>_xlfn.IFS(F306=1,"1 Item",F306&lt;=3,"2-3 Items",F306&lt;=5,"4-5 Items",TRUE,"6+ Items")</f>
        <v>1 Item</v>
      </c>
      <c r="O306" t="str">
        <f>TEXT(I306,"mmm")</f>
        <v>Nov</v>
      </c>
      <c r="P306">
        <f>MONTH(I306)</f>
        <v>11</v>
      </c>
      <c r="Q306">
        <f>YEAR(I306)</f>
        <v>2022</v>
      </c>
      <c r="R306" t="str">
        <f>IF(K306&gt;=5000,"High Value","Regular")</f>
        <v>Regular</v>
      </c>
      <c r="S306" t="str">
        <f>IF(F306&gt;=4,"Bulk Order","Normal Order")</f>
        <v>Normal Order</v>
      </c>
    </row>
    <row r="307" spans="1:19" x14ac:dyDescent="0.3">
      <c r="A307" t="s">
        <v>410</v>
      </c>
      <c r="B307" t="s">
        <v>409</v>
      </c>
      <c r="C307" t="s">
        <v>12</v>
      </c>
      <c r="D307">
        <v>27</v>
      </c>
      <c r="E307" t="s">
        <v>8</v>
      </c>
      <c r="F307">
        <v>1</v>
      </c>
      <c r="G307">
        <v>300.08</v>
      </c>
      <c r="H307" t="s">
        <v>15</v>
      </c>
      <c r="I307" s="1">
        <v>44936</v>
      </c>
      <c r="J307" t="s">
        <v>28</v>
      </c>
      <c r="K307">
        <f>F307*G307</f>
        <v>300.08</v>
      </c>
      <c r="L307" t="str">
        <f>_xlfn.IFS(D307&lt;20,"Below 20",D307&lt;=30,"20-30",D307&lt;=40,"31-40",D307&lt;=50,"41-50",D307&lt;=60,"51-60",TRUE,"60+")</f>
        <v>20-30</v>
      </c>
      <c r="M307" t="str">
        <f>_xlfn.IFS(K307&lt;500,"Low Spend",K307&lt;=2000,"Medium Spend",K307&lt;=5000,"High Spend",TRUE,"Premium Spend")</f>
        <v>Low Spend</v>
      </c>
      <c r="N307" t="str">
        <f>_xlfn.IFS(F307=1,"1 Item",F307&lt;=3,"2-3 Items",F307&lt;=5,"4-5 Items",TRUE,"6+ Items")</f>
        <v>1 Item</v>
      </c>
      <c r="O307" t="str">
        <f>TEXT(I307,"mmm")</f>
        <v>Jan</v>
      </c>
      <c r="P307">
        <f>MONTH(I307)</f>
        <v>1</v>
      </c>
      <c r="Q307">
        <f>YEAR(I307)</f>
        <v>2023</v>
      </c>
      <c r="R307" t="str">
        <f>IF(K307&gt;=5000,"High Value","Regular")</f>
        <v>Regular</v>
      </c>
      <c r="S307" t="str">
        <f>IF(F307&gt;=4,"Bulk Order","Normal Order")</f>
        <v>Normal Order</v>
      </c>
    </row>
    <row r="308" spans="1:19" x14ac:dyDescent="0.3">
      <c r="A308" t="s">
        <v>408</v>
      </c>
      <c r="B308" t="s">
        <v>407</v>
      </c>
      <c r="C308" t="s">
        <v>3</v>
      </c>
      <c r="D308">
        <v>34</v>
      </c>
      <c r="E308" t="s">
        <v>31</v>
      </c>
      <c r="F308">
        <v>4</v>
      </c>
      <c r="G308">
        <v>2400.6799999999998</v>
      </c>
      <c r="H308" t="s">
        <v>15</v>
      </c>
      <c r="I308" s="1">
        <v>44571</v>
      </c>
      <c r="J308" t="s">
        <v>6</v>
      </c>
      <c r="K308">
        <f>F308*G308</f>
        <v>9602.7199999999993</v>
      </c>
      <c r="L308" t="str">
        <f>_xlfn.IFS(D308&lt;20,"Below 20",D308&lt;=30,"20-30",D308&lt;=40,"31-40",D308&lt;=50,"41-50",D308&lt;=60,"51-60",TRUE,"60+")</f>
        <v>31-40</v>
      </c>
      <c r="M308" t="str">
        <f>_xlfn.IFS(K308&lt;500,"Low Spend",K308&lt;=2000,"Medium Spend",K308&lt;=5000,"High Spend",TRUE,"Premium Spend")</f>
        <v>Premium Spend</v>
      </c>
      <c r="N308" t="str">
        <f>_xlfn.IFS(F308=1,"1 Item",F308&lt;=3,"2-3 Items",F308&lt;=5,"4-5 Items",TRUE,"6+ Items")</f>
        <v>4-5 Items</v>
      </c>
      <c r="O308" t="str">
        <f>TEXT(I308,"mmm")</f>
        <v>Jan</v>
      </c>
      <c r="P308">
        <f>MONTH(I308)</f>
        <v>1</v>
      </c>
      <c r="Q308">
        <f>YEAR(I308)</f>
        <v>2022</v>
      </c>
      <c r="R308" t="str">
        <f>IF(K308&gt;=5000,"High Value","Regular")</f>
        <v>High Value</v>
      </c>
      <c r="S308" t="str">
        <f>IF(F308&gt;=4,"Bulk Order","Normal Order")</f>
        <v>Bulk Order</v>
      </c>
    </row>
    <row r="309" spans="1:19" x14ac:dyDescent="0.3">
      <c r="A309" t="s">
        <v>406</v>
      </c>
      <c r="B309" t="s">
        <v>405</v>
      </c>
      <c r="C309" t="s">
        <v>3</v>
      </c>
      <c r="D309">
        <v>65</v>
      </c>
      <c r="E309" t="s">
        <v>16</v>
      </c>
      <c r="F309">
        <v>1</v>
      </c>
      <c r="G309">
        <v>5.23</v>
      </c>
      <c r="H309" t="s">
        <v>15</v>
      </c>
      <c r="I309" s="1">
        <v>44779</v>
      </c>
      <c r="J309" t="s">
        <v>28</v>
      </c>
      <c r="K309">
        <f>F309*G309</f>
        <v>5.23</v>
      </c>
      <c r="L309" t="str">
        <f>_xlfn.IFS(D309&lt;20,"Below 20",D309&lt;=30,"20-30",D309&lt;=40,"31-40",D309&lt;=50,"41-50",D309&lt;=60,"51-60",TRUE,"60+")</f>
        <v>60+</v>
      </c>
      <c r="M309" t="str">
        <f>_xlfn.IFS(K309&lt;500,"Low Spend",K309&lt;=2000,"Medium Spend",K309&lt;=5000,"High Spend",TRUE,"Premium Spend")</f>
        <v>Low Spend</v>
      </c>
      <c r="N309" t="str">
        <f>_xlfn.IFS(F309=1,"1 Item",F309&lt;=3,"2-3 Items",F309&lt;=5,"4-5 Items",TRUE,"6+ Items")</f>
        <v>1 Item</v>
      </c>
      <c r="O309" t="str">
        <f>TEXT(I309,"mmm")</f>
        <v>Aug</v>
      </c>
      <c r="P309">
        <f>MONTH(I309)</f>
        <v>8</v>
      </c>
      <c r="Q309">
        <f>YEAR(I309)</f>
        <v>2022</v>
      </c>
      <c r="R309" t="str">
        <f>IF(K309&gt;=5000,"High Value","Regular")</f>
        <v>Regular</v>
      </c>
      <c r="S309" t="str">
        <f>IF(F309&gt;=4,"Bulk Order","Normal Order")</f>
        <v>Normal Order</v>
      </c>
    </row>
    <row r="310" spans="1:19" x14ac:dyDescent="0.3">
      <c r="A310" t="s">
        <v>404</v>
      </c>
      <c r="B310" t="s">
        <v>403</v>
      </c>
      <c r="C310" t="s">
        <v>3</v>
      </c>
      <c r="D310">
        <v>53</v>
      </c>
      <c r="E310" t="s">
        <v>19</v>
      </c>
      <c r="F310">
        <v>2</v>
      </c>
      <c r="G310">
        <v>81.319999999999993</v>
      </c>
      <c r="H310" t="s">
        <v>15</v>
      </c>
      <c r="I310" s="1">
        <v>44976</v>
      </c>
      <c r="J310" t="s">
        <v>0</v>
      </c>
      <c r="K310">
        <f>F310*G310</f>
        <v>162.63999999999999</v>
      </c>
      <c r="L310" t="str">
        <f>_xlfn.IFS(D310&lt;20,"Below 20",D310&lt;=30,"20-30",D310&lt;=40,"31-40",D310&lt;=50,"41-50",D310&lt;=60,"51-60",TRUE,"60+")</f>
        <v>51-60</v>
      </c>
      <c r="M310" t="str">
        <f>_xlfn.IFS(K310&lt;500,"Low Spend",K310&lt;=2000,"Medium Spend",K310&lt;=5000,"High Spend",TRUE,"Premium Spend")</f>
        <v>Low Spend</v>
      </c>
      <c r="N310" t="str">
        <f>_xlfn.IFS(F310=1,"1 Item",F310&lt;=3,"2-3 Items",F310&lt;=5,"4-5 Items",TRUE,"6+ Items")</f>
        <v>2-3 Items</v>
      </c>
      <c r="O310" t="str">
        <f>TEXT(I310,"mmm")</f>
        <v>Feb</v>
      </c>
      <c r="P310">
        <f>MONTH(I310)</f>
        <v>2</v>
      </c>
      <c r="Q310">
        <f>YEAR(I310)</f>
        <v>2023</v>
      </c>
      <c r="R310" t="str">
        <f>IF(K310&gt;=5000,"High Value","Regular")</f>
        <v>Regular</v>
      </c>
      <c r="S310" t="str">
        <f>IF(F310&gt;=4,"Bulk Order","Normal Order")</f>
        <v>Normal Order</v>
      </c>
    </row>
    <row r="311" spans="1:19" x14ac:dyDescent="0.3">
      <c r="A311" t="s">
        <v>402</v>
      </c>
      <c r="B311" t="s">
        <v>401</v>
      </c>
      <c r="C311" t="s">
        <v>3</v>
      </c>
      <c r="D311">
        <v>19</v>
      </c>
      <c r="E311" t="s">
        <v>16</v>
      </c>
      <c r="F311">
        <v>3</v>
      </c>
      <c r="G311">
        <v>15.69</v>
      </c>
      <c r="H311" t="s">
        <v>1</v>
      </c>
      <c r="I311" s="1">
        <v>44376</v>
      </c>
      <c r="J311" t="s">
        <v>28</v>
      </c>
      <c r="K311">
        <f>F311*G311</f>
        <v>47.07</v>
      </c>
      <c r="L311" t="str">
        <f>_xlfn.IFS(D311&lt;20,"Below 20",D311&lt;=30,"20-30",D311&lt;=40,"31-40",D311&lt;=50,"41-50",D311&lt;=60,"51-60",TRUE,"60+")</f>
        <v>Below 20</v>
      </c>
      <c r="M311" t="str">
        <f>_xlfn.IFS(K311&lt;500,"Low Spend",K311&lt;=2000,"Medium Spend",K311&lt;=5000,"High Spend",TRUE,"Premium Spend")</f>
        <v>Low Spend</v>
      </c>
      <c r="N311" t="str">
        <f>_xlfn.IFS(F311=1,"1 Item",F311&lt;=3,"2-3 Items",F311&lt;=5,"4-5 Items",TRUE,"6+ Items")</f>
        <v>2-3 Items</v>
      </c>
      <c r="O311" t="str">
        <f>TEXT(I311,"mmm")</f>
        <v>Jun</v>
      </c>
      <c r="P311">
        <f>MONTH(I311)</f>
        <v>6</v>
      </c>
      <c r="Q311">
        <f>YEAR(I311)</f>
        <v>2021</v>
      </c>
      <c r="R311" t="str">
        <f>IF(K311&gt;=5000,"High Value","Regular")</f>
        <v>Regular</v>
      </c>
      <c r="S311" t="str">
        <f>IF(F311&gt;=4,"Bulk Order","Normal Order")</f>
        <v>Normal Order</v>
      </c>
    </row>
    <row r="312" spans="1:19" x14ac:dyDescent="0.3">
      <c r="A312" t="s">
        <v>400</v>
      </c>
      <c r="B312" t="s">
        <v>399</v>
      </c>
      <c r="C312" t="s">
        <v>3</v>
      </c>
      <c r="D312">
        <v>19</v>
      </c>
      <c r="E312" t="s">
        <v>8</v>
      </c>
      <c r="F312">
        <v>2</v>
      </c>
      <c r="G312">
        <v>600.16</v>
      </c>
      <c r="H312" t="s">
        <v>15</v>
      </c>
      <c r="I312" s="1">
        <v>44378</v>
      </c>
      <c r="J312" t="s">
        <v>0</v>
      </c>
      <c r="K312">
        <f>F312*G312</f>
        <v>1200.32</v>
      </c>
      <c r="L312" t="str">
        <f>_xlfn.IFS(D312&lt;20,"Below 20",D312&lt;=30,"20-30",D312&lt;=40,"31-40",D312&lt;=50,"41-50",D312&lt;=60,"51-60",TRUE,"60+")</f>
        <v>Below 20</v>
      </c>
      <c r="M312" t="str">
        <f>_xlfn.IFS(K312&lt;500,"Low Spend",K312&lt;=2000,"Medium Spend",K312&lt;=5000,"High Spend",TRUE,"Premium Spend")</f>
        <v>Medium Spend</v>
      </c>
      <c r="N312" t="str">
        <f>_xlfn.IFS(F312=1,"1 Item",F312&lt;=3,"2-3 Items",F312&lt;=5,"4-5 Items",TRUE,"6+ Items")</f>
        <v>2-3 Items</v>
      </c>
      <c r="O312" t="str">
        <f>TEXT(I312,"mmm")</f>
        <v>Jul</v>
      </c>
      <c r="P312">
        <f>MONTH(I312)</f>
        <v>7</v>
      </c>
      <c r="Q312">
        <f>YEAR(I312)</f>
        <v>2021</v>
      </c>
      <c r="R312" t="str">
        <f>IF(K312&gt;=5000,"High Value","Regular")</f>
        <v>Regular</v>
      </c>
      <c r="S312" t="str">
        <f>IF(F312&gt;=4,"Bulk Order","Normal Order")</f>
        <v>Normal Order</v>
      </c>
    </row>
    <row r="313" spans="1:19" x14ac:dyDescent="0.3">
      <c r="A313" t="s">
        <v>398</v>
      </c>
      <c r="B313" t="s">
        <v>397</v>
      </c>
      <c r="C313" t="s">
        <v>3</v>
      </c>
      <c r="D313">
        <v>31</v>
      </c>
      <c r="E313" t="s">
        <v>16</v>
      </c>
      <c r="F313">
        <v>1</v>
      </c>
      <c r="G313">
        <v>5.23</v>
      </c>
      <c r="H313" t="s">
        <v>1</v>
      </c>
      <c r="I313" s="1">
        <v>44599</v>
      </c>
      <c r="J313" t="s">
        <v>11</v>
      </c>
      <c r="K313">
        <f>F313*G313</f>
        <v>5.23</v>
      </c>
      <c r="L313" t="str">
        <f>_xlfn.IFS(D313&lt;20,"Below 20",D313&lt;=30,"20-30",D313&lt;=40,"31-40",D313&lt;=50,"41-50",D313&lt;=60,"51-60",TRUE,"60+")</f>
        <v>31-40</v>
      </c>
      <c r="M313" t="str">
        <f>_xlfn.IFS(K313&lt;500,"Low Spend",K313&lt;=2000,"Medium Spend",K313&lt;=5000,"High Spend",TRUE,"Premium Spend")</f>
        <v>Low Spend</v>
      </c>
      <c r="N313" t="str">
        <f>_xlfn.IFS(F313=1,"1 Item",F313&lt;=3,"2-3 Items",F313&lt;=5,"4-5 Items",TRUE,"6+ Items")</f>
        <v>1 Item</v>
      </c>
      <c r="O313" t="str">
        <f>TEXT(I313,"mmm")</f>
        <v>Feb</v>
      </c>
      <c r="P313">
        <f>MONTH(I313)</f>
        <v>2</v>
      </c>
      <c r="Q313">
        <f>YEAR(I313)</f>
        <v>2022</v>
      </c>
      <c r="R313" t="str">
        <f>IF(K313&gt;=5000,"High Value","Regular")</f>
        <v>Regular</v>
      </c>
      <c r="S313" t="str">
        <f>IF(F313&gt;=4,"Bulk Order","Normal Order")</f>
        <v>Normal Order</v>
      </c>
    </row>
    <row r="314" spans="1:19" x14ac:dyDescent="0.3">
      <c r="A314" t="s">
        <v>396</v>
      </c>
      <c r="B314" t="s">
        <v>395</v>
      </c>
      <c r="C314" t="s">
        <v>3</v>
      </c>
      <c r="D314">
        <v>43</v>
      </c>
      <c r="E314" t="s">
        <v>2</v>
      </c>
      <c r="F314">
        <v>2</v>
      </c>
      <c r="G314">
        <v>71.680000000000007</v>
      </c>
      <c r="H314" t="s">
        <v>15</v>
      </c>
      <c r="I314" s="1">
        <v>44479</v>
      </c>
      <c r="J314" t="s">
        <v>102</v>
      </c>
      <c r="K314">
        <f>F314*G314</f>
        <v>143.36000000000001</v>
      </c>
      <c r="L314" t="str">
        <f>_xlfn.IFS(D314&lt;20,"Below 20",D314&lt;=30,"20-30",D314&lt;=40,"31-40",D314&lt;=50,"41-50",D314&lt;=60,"51-60",TRUE,"60+")</f>
        <v>41-50</v>
      </c>
      <c r="M314" t="str">
        <f>_xlfn.IFS(K314&lt;500,"Low Spend",K314&lt;=2000,"Medium Spend",K314&lt;=5000,"High Spend",TRUE,"Premium Spend")</f>
        <v>Low Spend</v>
      </c>
      <c r="N314" t="str">
        <f>_xlfn.IFS(F314=1,"1 Item",F314&lt;=3,"2-3 Items",F314&lt;=5,"4-5 Items",TRUE,"6+ Items")</f>
        <v>2-3 Items</v>
      </c>
      <c r="O314" t="str">
        <f>TEXT(I314,"mmm")</f>
        <v>Oct</v>
      </c>
      <c r="P314">
        <f>MONTH(I314)</f>
        <v>10</v>
      </c>
      <c r="Q314">
        <f>YEAR(I314)</f>
        <v>2021</v>
      </c>
      <c r="R314" t="str">
        <f>IF(K314&gt;=5000,"High Value","Regular")</f>
        <v>Regular</v>
      </c>
      <c r="S314" t="str">
        <f>IF(F314&gt;=4,"Bulk Order","Normal Order")</f>
        <v>Normal Order</v>
      </c>
    </row>
    <row r="315" spans="1:19" x14ac:dyDescent="0.3">
      <c r="A315" t="s">
        <v>394</v>
      </c>
      <c r="B315" t="s">
        <v>393</v>
      </c>
      <c r="C315" t="s">
        <v>12</v>
      </c>
      <c r="D315">
        <v>42</v>
      </c>
      <c r="E315" t="s">
        <v>8</v>
      </c>
      <c r="F315">
        <v>3</v>
      </c>
      <c r="G315">
        <v>900.24</v>
      </c>
      <c r="H315" t="s">
        <v>1</v>
      </c>
      <c r="I315" s="1">
        <v>44377</v>
      </c>
      <c r="J315" t="s">
        <v>11</v>
      </c>
      <c r="K315">
        <f>F315*G315</f>
        <v>2700.7200000000003</v>
      </c>
      <c r="L315" t="str">
        <f>_xlfn.IFS(D315&lt;20,"Below 20",D315&lt;=30,"20-30",D315&lt;=40,"31-40",D315&lt;=50,"41-50",D315&lt;=60,"51-60",TRUE,"60+")</f>
        <v>41-50</v>
      </c>
      <c r="M315" t="str">
        <f>_xlfn.IFS(K315&lt;500,"Low Spend",K315&lt;=2000,"Medium Spend",K315&lt;=5000,"High Spend",TRUE,"Premium Spend")</f>
        <v>High Spend</v>
      </c>
      <c r="N315" t="str">
        <f>_xlfn.IFS(F315=1,"1 Item",F315&lt;=3,"2-3 Items",F315&lt;=5,"4-5 Items",TRUE,"6+ Items")</f>
        <v>2-3 Items</v>
      </c>
      <c r="O315" t="str">
        <f>TEXT(I315,"mmm")</f>
        <v>Jun</v>
      </c>
      <c r="P315">
        <f>MONTH(I315)</f>
        <v>6</v>
      </c>
      <c r="Q315">
        <f>YEAR(I315)</f>
        <v>2021</v>
      </c>
      <c r="R315" t="str">
        <f>IF(K315&gt;=5000,"High Value","Regular")</f>
        <v>Regular</v>
      </c>
      <c r="S315" t="str">
        <f>IF(F315&gt;=4,"Bulk Order","Normal Order")</f>
        <v>Normal Order</v>
      </c>
    </row>
    <row r="316" spans="1:19" x14ac:dyDescent="0.3">
      <c r="A316" t="s">
        <v>392</v>
      </c>
      <c r="B316" t="s">
        <v>391</v>
      </c>
      <c r="C316" t="s">
        <v>12</v>
      </c>
      <c r="D316">
        <v>58</v>
      </c>
      <c r="E316" t="s">
        <v>61</v>
      </c>
      <c r="F316">
        <v>4</v>
      </c>
      <c r="G316">
        <v>60.6</v>
      </c>
      <c r="H316" t="s">
        <v>1</v>
      </c>
      <c r="I316" s="1">
        <v>44644</v>
      </c>
      <c r="J316" t="s">
        <v>28</v>
      </c>
      <c r="K316">
        <f>F316*G316</f>
        <v>242.4</v>
      </c>
      <c r="L316" t="str">
        <f>_xlfn.IFS(D316&lt;20,"Below 20",D316&lt;=30,"20-30",D316&lt;=40,"31-40",D316&lt;=50,"41-50",D316&lt;=60,"51-60",TRUE,"60+")</f>
        <v>51-60</v>
      </c>
      <c r="M316" t="str">
        <f>_xlfn.IFS(K316&lt;500,"Low Spend",K316&lt;=2000,"Medium Spend",K316&lt;=5000,"High Spend",TRUE,"Premium Spend")</f>
        <v>Low Spend</v>
      </c>
      <c r="N316" t="str">
        <f>_xlfn.IFS(F316=1,"1 Item",F316&lt;=3,"2-3 Items",F316&lt;=5,"4-5 Items",TRUE,"6+ Items")</f>
        <v>4-5 Items</v>
      </c>
      <c r="O316" t="str">
        <f>TEXT(I316,"mmm")</f>
        <v>Mar</v>
      </c>
      <c r="P316">
        <f>MONTH(I316)</f>
        <v>3</v>
      </c>
      <c r="Q316">
        <f>YEAR(I316)</f>
        <v>2022</v>
      </c>
      <c r="R316" t="str">
        <f>IF(K316&gt;=5000,"High Value","Regular")</f>
        <v>Regular</v>
      </c>
      <c r="S316" t="str">
        <f>IF(F316&gt;=4,"Bulk Order","Normal Order")</f>
        <v>Bulk Order</v>
      </c>
    </row>
    <row r="317" spans="1:19" x14ac:dyDescent="0.3">
      <c r="A317" t="s">
        <v>390</v>
      </c>
      <c r="B317" t="s">
        <v>389</v>
      </c>
      <c r="C317" t="s">
        <v>3</v>
      </c>
      <c r="D317">
        <v>34</v>
      </c>
      <c r="E317" t="s">
        <v>19</v>
      </c>
      <c r="F317">
        <v>3</v>
      </c>
      <c r="G317">
        <v>121.98</v>
      </c>
      <c r="H317" t="s">
        <v>7</v>
      </c>
      <c r="I317" s="1">
        <v>44821</v>
      </c>
      <c r="J317" t="s">
        <v>0</v>
      </c>
      <c r="K317">
        <f>F317*G317</f>
        <v>365.94</v>
      </c>
      <c r="L317" t="str">
        <f>_xlfn.IFS(D317&lt;20,"Below 20",D317&lt;=30,"20-30",D317&lt;=40,"31-40",D317&lt;=50,"41-50",D317&lt;=60,"51-60",TRUE,"60+")</f>
        <v>31-40</v>
      </c>
      <c r="M317" t="str">
        <f>_xlfn.IFS(K317&lt;500,"Low Spend",K317&lt;=2000,"Medium Spend",K317&lt;=5000,"High Spend",TRUE,"Premium Spend")</f>
        <v>Low Spend</v>
      </c>
      <c r="N317" t="str">
        <f>_xlfn.IFS(F317=1,"1 Item",F317&lt;=3,"2-3 Items",F317&lt;=5,"4-5 Items",TRUE,"6+ Items")</f>
        <v>2-3 Items</v>
      </c>
      <c r="O317" t="str">
        <f>TEXT(I317,"mmm")</f>
        <v>Sep</v>
      </c>
      <c r="P317">
        <f>MONTH(I317)</f>
        <v>9</v>
      </c>
      <c r="Q317">
        <f>YEAR(I317)</f>
        <v>2022</v>
      </c>
      <c r="R317" t="str">
        <f>IF(K317&gt;=5000,"High Value","Regular")</f>
        <v>Regular</v>
      </c>
      <c r="S317" t="str">
        <f>IF(F317&gt;=4,"Bulk Order","Normal Order")</f>
        <v>Normal Order</v>
      </c>
    </row>
    <row r="318" spans="1:19" x14ac:dyDescent="0.3">
      <c r="A318" t="s">
        <v>388</v>
      </c>
      <c r="B318" t="s">
        <v>387</v>
      </c>
      <c r="C318" t="s">
        <v>3</v>
      </c>
      <c r="D318">
        <v>32</v>
      </c>
      <c r="E318" t="s">
        <v>19</v>
      </c>
      <c r="F318">
        <v>2</v>
      </c>
      <c r="G318">
        <v>81.319999999999993</v>
      </c>
      <c r="H318" t="s">
        <v>7</v>
      </c>
      <c r="I318" s="1">
        <v>44408</v>
      </c>
      <c r="J318" t="s">
        <v>0</v>
      </c>
      <c r="K318">
        <f>F318*G318</f>
        <v>162.63999999999999</v>
      </c>
      <c r="L318" t="str">
        <f>_xlfn.IFS(D318&lt;20,"Below 20",D318&lt;=30,"20-30",D318&lt;=40,"31-40",D318&lt;=50,"41-50",D318&lt;=60,"51-60",TRUE,"60+")</f>
        <v>31-40</v>
      </c>
      <c r="M318" t="str">
        <f>_xlfn.IFS(K318&lt;500,"Low Spend",K318&lt;=2000,"Medium Spend",K318&lt;=5000,"High Spend",TRUE,"Premium Spend")</f>
        <v>Low Spend</v>
      </c>
      <c r="N318" t="str">
        <f>_xlfn.IFS(F318=1,"1 Item",F318&lt;=3,"2-3 Items",F318&lt;=5,"4-5 Items",TRUE,"6+ Items")</f>
        <v>2-3 Items</v>
      </c>
      <c r="O318" t="str">
        <f>TEXT(I318,"mmm")</f>
        <v>Jul</v>
      </c>
      <c r="P318">
        <f>MONTH(I318)</f>
        <v>7</v>
      </c>
      <c r="Q318">
        <f>YEAR(I318)</f>
        <v>2021</v>
      </c>
      <c r="R318" t="str">
        <f>IF(K318&gt;=5000,"High Value","Regular")</f>
        <v>Regular</v>
      </c>
      <c r="S318" t="str">
        <f>IF(F318&gt;=4,"Bulk Order","Normal Order")</f>
        <v>Normal Order</v>
      </c>
    </row>
    <row r="319" spans="1:19" x14ac:dyDescent="0.3">
      <c r="A319" t="s">
        <v>386</v>
      </c>
      <c r="B319" t="s">
        <v>385</v>
      </c>
      <c r="C319" t="s">
        <v>12</v>
      </c>
      <c r="D319">
        <v>27</v>
      </c>
      <c r="E319" t="s">
        <v>23</v>
      </c>
      <c r="F319">
        <v>4</v>
      </c>
      <c r="G319">
        <v>46.92</v>
      </c>
      <c r="H319" t="s">
        <v>1</v>
      </c>
      <c r="I319" s="1">
        <v>44886</v>
      </c>
      <c r="J319" t="s">
        <v>28</v>
      </c>
      <c r="K319">
        <f>F319*G319</f>
        <v>187.68</v>
      </c>
      <c r="L319" t="str">
        <f>_xlfn.IFS(D319&lt;20,"Below 20",D319&lt;=30,"20-30",D319&lt;=40,"31-40",D319&lt;=50,"41-50",D319&lt;=60,"51-60",TRUE,"60+")</f>
        <v>20-30</v>
      </c>
      <c r="M319" t="str">
        <f>_xlfn.IFS(K319&lt;500,"Low Spend",K319&lt;=2000,"Medium Spend",K319&lt;=5000,"High Spend",TRUE,"Premium Spend")</f>
        <v>Low Spend</v>
      </c>
      <c r="N319" t="str">
        <f>_xlfn.IFS(F319=1,"1 Item",F319&lt;=3,"2-3 Items",F319&lt;=5,"4-5 Items",TRUE,"6+ Items")</f>
        <v>4-5 Items</v>
      </c>
      <c r="O319" t="str">
        <f>TEXT(I319,"mmm")</f>
        <v>Nov</v>
      </c>
      <c r="P319">
        <f>MONTH(I319)</f>
        <v>11</v>
      </c>
      <c r="Q319">
        <f>YEAR(I319)</f>
        <v>2022</v>
      </c>
      <c r="R319" t="str">
        <f>IF(K319&gt;=5000,"High Value","Regular")</f>
        <v>Regular</v>
      </c>
      <c r="S319" t="str">
        <f>IF(F319&gt;=4,"Bulk Order","Normal Order")</f>
        <v>Bulk Order</v>
      </c>
    </row>
    <row r="320" spans="1:19" x14ac:dyDescent="0.3">
      <c r="A320" t="s">
        <v>384</v>
      </c>
      <c r="B320" t="s">
        <v>383</v>
      </c>
      <c r="C320" t="s">
        <v>3</v>
      </c>
      <c r="D320">
        <v>28</v>
      </c>
      <c r="E320" t="s">
        <v>16</v>
      </c>
      <c r="F320">
        <v>2</v>
      </c>
      <c r="G320">
        <v>10.46</v>
      </c>
      <c r="H320" t="s">
        <v>1</v>
      </c>
      <c r="I320" s="1">
        <v>44808</v>
      </c>
      <c r="J320" t="s">
        <v>28</v>
      </c>
      <c r="K320">
        <f>F320*G320</f>
        <v>20.92</v>
      </c>
      <c r="L320" t="str">
        <f>_xlfn.IFS(D320&lt;20,"Below 20",D320&lt;=30,"20-30",D320&lt;=40,"31-40",D320&lt;=50,"41-50",D320&lt;=60,"51-60",TRUE,"60+")</f>
        <v>20-30</v>
      </c>
      <c r="M320" t="str">
        <f>_xlfn.IFS(K320&lt;500,"Low Spend",K320&lt;=2000,"Medium Spend",K320&lt;=5000,"High Spend",TRUE,"Premium Spend")</f>
        <v>Low Spend</v>
      </c>
      <c r="N320" t="str">
        <f>_xlfn.IFS(F320=1,"1 Item",F320&lt;=3,"2-3 Items",F320&lt;=5,"4-5 Items",TRUE,"6+ Items")</f>
        <v>2-3 Items</v>
      </c>
      <c r="O320" t="str">
        <f>TEXT(I320,"mmm")</f>
        <v>Sep</v>
      </c>
      <c r="P320">
        <f>MONTH(I320)</f>
        <v>9</v>
      </c>
      <c r="Q320">
        <f>YEAR(I320)</f>
        <v>2022</v>
      </c>
      <c r="R320" t="str">
        <f>IF(K320&gt;=5000,"High Value","Regular")</f>
        <v>Regular</v>
      </c>
      <c r="S320" t="str">
        <f>IF(F320&gt;=4,"Bulk Order","Normal Order")</f>
        <v>Normal Order</v>
      </c>
    </row>
    <row r="321" spans="1:19" x14ac:dyDescent="0.3">
      <c r="A321" t="s">
        <v>382</v>
      </c>
      <c r="B321" t="s">
        <v>381</v>
      </c>
      <c r="C321" t="s">
        <v>12</v>
      </c>
      <c r="D321">
        <v>55</v>
      </c>
      <c r="E321" t="s">
        <v>19</v>
      </c>
      <c r="F321">
        <v>3</v>
      </c>
      <c r="G321">
        <v>121.98</v>
      </c>
      <c r="H321" t="s">
        <v>1</v>
      </c>
      <c r="I321" s="1">
        <v>44245</v>
      </c>
      <c r="J321" t="s">
        <v>28</v>
      </c>
      <c r="K321">
        <f>F321*G321</f>
        <v>365.94</v>
      </c>
      <c r="L321" t="str">
        <f>_xlfn.IFS(D321&lt;20,"Below 20",D321&lt;=30,"20-30",D321&lt;=40,"31-40",D321&lt;=50,"41-50",D321&lt;=60,"51-60",TRUE,"60+")</f>
        <v>51-60</v>
      </c>
      <c r="M321" t="str">
        <f>_xlfn.IFS(K321&lt;500,"Low Spend",K321&lt;=2000,"Medium Spend",K321&lt;=5000,"High Spend",TRUE,"Premium Spend")</f>
        <v>Low Spend</v>
      </c>
      <c r="N321" t="str">
        <f>_xlfn.IFS(F321=1,"1 Item",F321&lt;=3,"2-3 Items",F321&lt;=5,"4-5 Items",TRUE,"6+ Items")</f>
        <v>2-3 Items</v>
      </c>
      <c r="O321" t="str">
        <f>TEXT(I321,"mmm")</f>
        <v>Feb</v>
      </c>
      <c r="P321">
        <f>MONTH(I321)</f>
        <v>2</v>
      </c>
      <c r="Q321">
        <f>YEAR(I321)</f>
        <v>2021</v>
      </c>
      <c r="R321" t="str">
        <f>IF(K321&gt;=5000,"High Value","Regular")</f>
        <v>Regular</v>
      </c>
      <c r="S321" t="str">
        <f>IF(F321&gt;=4,"Bulk Order","Normal Order")</f>
        <v>Normal Order</v>
      </c>
    </row>
    <row r="322" spans="1:19" x14ac:dyDescent="0.3">
      <c r="A322" t="s">
        <v>380</v>
      </c>
      <c r="B322" t="s">
        <v>379</v>
      </c>
      <c r="C322" t="s">
        <v>3</v>
      </c>
      <c r="D322">
        <v>48</v>
      </c>
      <c r="E322" t="s">
        <v>23</v>
      </c>
      <c r="F322">
        <v>3</v>
      </c>
      <c r="G322">
        <v>35.19</v>
      </c>
      <c r="H322" t="s">
        <v>15</v>
      </c>
      <c r="I322" s="1">
        <v>44276</v>
      </c>
      <c r="J322" t="s">
        <v>68</v>
      </c>
      <c r="K322">
        <f>F322*G322</f>
        <v>105.57</v>
      </c>
      <c r="L322" t="str">
        <f>_xlfn.IFS(D322&lt;20,"Below 20",D322&lt;=30,"20-30",D322&lt;=40,"31-40",D322&lt;=50,"41-50",D322&lt;=60,"51-60",TRUE,"60+")</f>
        <v>41-50</v>
      </c>
      <c r="M322" t="str">
        <f>_xlfn.IFS(K322&lt;500,"Low Spend",K322&lt;=2000,"Medium Spend",K322&lt;=5000,"High Spend",TRUE,"Premium Spend")</f>
        <v>Low Spend</v>
      </c>
      <c r="N322" t="str">
        <f>_xlfn.IFS(F322=1,"1 Item",F322&lt;=3,"2-3 Items",F322&lt;=5,"4-5 Items",TRUE,"6+ Items")</f>
        <v>2-3 Items</v>
      </c>
      <c r="O322" t="str">
        <f>TEXT(I322,"mmm")</f>
        <v>Mar</v>
      </c>
      <c r="P322">
        <f>MONTH(I322)</f>
        <v>3</v>
      </c>
      <c r="Q322">
        <f>YEAR(I322)</f>
        <v>2021</v>
      </c>
      <c r="R322" t="str">
        <f>IF(K322&gt;=5000,"High Value","Regular")</f>
        <v>Regular</v>
      </c>
      <c r="S322" t="str">
        <f>IF(F322&gt;=4,"Bulk Order","Normal Order")</f>
        <v>Normal Order</v>
      </c>
    </row>
    <row r="323" spans="1:19" x14ac:dyDescent="0.3">
      <c r="A323" t="s">
        <v>378</v>
      </c>
      <c r="B323" t="s">
        <v>377</v>
      </c>
      <c r="C323" t="s">
        <v>3</v>
      </c>
      <c r="D323">
        <v>46</v>
      </c>
      <c r="E323" t="s">
        <v>16</v>
      </c>
      <c r="F323">
        <v>4</v>
      </c>
      <c r="G323">
        <v>20.92</v>
      </c>
      <c r="H323" t="s">
        <v>1</v>
      </c>
      <c r="I323" s="1">
        <v>44806</v>
      </c>
      <c r="J323" t="s">
        <v>22</v>
      </c>
      <c r="K323">
        <f>F323*G323</f>
        <v>83.68</v>
      </c>
      <c r="L323" t="str">
        <f>_xlfn.IFS(D323&lt;20,"Below 20",D323&lt;=30,"20-30",D323&lt;=40,"31-40",D323&lt;=50,"41-50",D323&lt;=60,"51-60",TRUE,"60+")</f>
        <v>41-50</v>
      </c>
      <c r="M323" t="str">
        <f>_xlfn.IFS(K323&lt;500,"Low Spend",K323&lt;=2000,"Medium Spend",K323&lt;=5000,"High Spend",TRUE,"Premium Spend")</f>
        <v>Low Spend</v>
      </c>
      <c r="N323" t="str">
        <f>_xlfn.IFS(F323=1,"1 Item",F323&lt;=3,"2-3 Items",F323&lt;=5,"4-5 Items",TRUE,"6+ Items")</f>
        <v>4-5 Items</v>
      </c>
      <c r="O323" t="str">
        <f>TEXT(I323,"mmm")</f>
        <v>Sep</v>
      </c>
      <c r="P323">
        <f>MONTH(I323)</f>
        <v>9</v>
      </c>
      <c r="Q323">
        <f>YEAR(I323)</f>
        <v>2022</v>
      </c>
      <c r="R323" t="str">
        <f>IF(K323&gt;=5000,"High Value","Regular")</f>
        <v>Regular</v>
      </c>
      <c r="S323" t="str">
        <f>IF(F323&gt;=4,"Bulk Order","Normal Order")</f>
        <v>Bulk Order</v>
      </c>
    </row>
    <row r="324" spans="1:19" x14ac:dyDescent="0.3">
      <c r="A324" t="s">
        <v>376</v>
      </c>
      <c r="B324" t="s">
        <v>375</v>
      </c>
      <c r="C324" t="s">
        <v>3</v>
      </c>
      <c r="D324">
        <v>20</v>
      </c>
      <c r="E324" t="s">
        <v>2</v>
      </c>
      <c r="F324">
        <v>3</v>
      </c>
      <c r="G324">
        <v>107.52</v>
      </c>
      <c r="H324" t="s">
        <v>15</v>
      </c>
      <c r="I324" s="1">
        <v>44363</v>
      </c>
      <c r="J324" t="s">
        <v>68</v>
      </c>
      <c r="K324">
        <f>F324*G324</f>
        <v>322.56</v>
      </c>
      <c r="L324" t="str">
        <f>_xlfn.IFS(D324&lt;20,"Below 20",D324&lt;=30,"20-30",D324&lt;=40,"31-40",D324&lt;=50,"41-50",D324&lt;=60,"51-60",TRUE,"60+")</f>
        <v>20-30</v>
      </c>
      <c r="M324" t="str">
        <f>_xlfn.IFS(K324&lt;500,"Low Spend",K324&lt;=2000,"Medium Spend",K324&lt;=5000,"High Spend",TRUE,"Premium Spend")</f>
        <v>Low Spend</v>
      </c>
      <c r="N324" t="str">
        <f>_xlfn.IFS(F324=1,"1 Item",F324&lt;=3,"2-3 Items",F324&lt;=5,"4-5 Items",TRUE,"6+ Items")</f>
        <v>2-3 Items</v>
      </c>
      <c r="O324" t="str">
        <f>TEXT(I324,"mmm")</f>
        <v>Jun</v>
      </c>
      <c r="P324">
        <f>MONTH(I324)</f>
        <v>6</v>
      </c>
      <c r="Q324">
        <f>YEAR(I324)</f>
        <v>2021</v>
      </c>
      <c r="R324" t="str">
        <f>IF(K324&gt;=5000,"High Value","Regular")</f>
        <v>Regular</v>
      </c>
      <c r="S324" t="str">
        <f>IF(F324&gt;=4,"Bulk Order","Normal Order")</f>
        <v>Normal Order</v>
      </c>
    </row>
    <row r="325" spans="1:19" x14ac:dyDescent="0.3">
      <c r="A325" t="s">
        <v>374</v>
      </c>
      <c r="B325" t="s">
        <v>373</v>
      </c>
      <c r="C325" t="s">
        <v>12</v>
      </c>
      <c r="D325">
        <v>39</v>
      </c>
      <c r="E325" t="s">
        <v>2</v>
      </c>
      <c r="F325">
        <v>3</v>
      </c>
      <c r="G325">
        <v>107.52</v>
      </c>
      <c r="H325" t="s">
        <v>1</v>
      </c>
      <c r="I325" s="1">
        <v>44952</v>
      </c>
      <c r="J325" t="s">
        <v>22</v>
      </c>
      <c r="K325">
        <f>F325*G325</f>
        <v>322.56</v>
      </c>
      <c r="L325" t="str">
        <f>_xlfn.IFS(D325&lt;20,"Below 20",D325&lt;=30,"20-30",D325&lt;=40,"31-40",D325&lt;=50,"41-50",D325&lt;=60,"51-60",TRUE,"60+")</f>
        <v>31-40</v>
      </c>
      <c r="M325" t="str">
        <f>_xlfn.IFS(K325&lt;500,"Low Spend",K325&lt;=2000,"Medium Spend",K325&lt;=5000,"High Spend",TRUE,"Premium Spend")</f>
        <v>Low Spend</v>
      </c>
      <c r="N325" t="str">
        <f>_xlfn.IFS(F325=1,"1 Item",F325&lt;=3,"2-3 Items",F325&lt;=5,"4-5 Items",TRUE,"6+ Items")</f>
        <v>2-3 Items</v>
      </c>
      <c r="O325" t="str">
        <f>TEXT(I325,"mmm")</f>
        <v>Jan</v>
      </c>
      <c r="P325">
        <f>MONTH(I325)</f>
        <v>1</v>
      </c>
      <c r="Q325">
        <f>YEAR(I325)</f>
        <v>2023</v>
      </c>
      <c r="R325" t="str">
        <f>IF(K325&gt;=5000,"High Value","Regular")</f>
        <v>Regular</v>
      </c>
      <c r="S325" t="str">
        <f>IF(F325&gt;=4,"Bulk Order","Normal Order")</f>
        <v>Normal Order</v>
      </c>
    </row>
    <row r="326" spans="1:19" x14ac:dyDescent="0.3">
      <c r="A326" t="s">
        <v>372</v>
      </c>
      <c r="B326" t="s">
        <v>371</v>
      </c>
      <c r="C326" t="s">
        <v>12</v>
      </c>
      <c r="D326">
        <v>44</v>
      </c>
      <c r="E326" t="s">
        <v>8</v>
      </c>
      <c r="F326">
        <v>5</v>
      </c>
      <c r="G326">
        <v>1500.4</v>
      </c>
      <c r="H326" t="s">
        <v>1</v>
      </c>
      <c r="I326" s="1">
        <v>44743</v>
      </c>
      <c r="J326" t="s">
        <v>22</v>
      </c>
      <c r="K326">
        <f>F326*G326</f>
        <v>7502</v>
      </c>
      <c r="L326" t="str">
        <f>_xlfn.IFS(D326&lt;20,"Below 20",D326&lt;=30,"20-30",D326&lt;=40,"31-40",D326&lt;=50,"41-50",D326&lt;=60,"51-60",TRUE,"60+")</f>
        <v>41-50</v>
      </c>
      <c r="M326" t="str">
        <f>_xlfn.IFS(K326&lt;500,"Low Spend",K326&lt;=2000,"Medium Spend",K326&lt;=5000,"High Spend",TRUE,"Premium Spend")</f>
        <v>Premium Spend</v>
      </c>
      <c r="N326" t="str">
        <f>_xlfn.IFS(F326=1,"1 Item",F326&lt;=3,"2-3 Items",F326&lt;=5,"4-5 Items",TRUE,"6+ Items")</f>
        <v>4-5 Items</v>
      </c>
      <c r="O326" t="str">
        <f>TEXT(I326,"mmm")</f>
        <v>Jul</v>
      </c>
      <c r="P326">
        <f>MONTH(I326)</f>
        <v>7</v>
      </c>
      <c r="Q326">
        <f>YEAR(I326)</f>
        <v>2022</v>
      </c>
      <c r="R326" t="str">
        <f>IF(K326&gt;=5000,"High Value","Regular")</f>
        <v>High Value</v>
      </c>
      <c r="S326" t="str">
        <f>IF(F326&gt;=4,"Bulk Order","Normal Order")</f>
        <v>Bulk Order</v>
      </c>
    </row>
    <row r="327" spans="1:19" x14ac:dyDescent="0.3">
      <c r="A327" t="s">
        <v>370</v>
      </c>
      <c r="B327" t="s">
        <v>369</v>
      </c>
      <c r="C327" t="s">
        <v>3</v>
      </c>
      <c r="D327">
        <v>35</v>
      </c>
      <c r="E327" t="s">
        <v>19</v>
      </c>
      <c r="F327">
        <v>5</v>
      </c>
      <c r="G327">
        <v>203.3</v>
      </c>
      <c r="H327" t="s">
        <v>7</v>
      </c>
      <c r="I327" s="1">
        <v>44951</v>
      </c>
      <c r="J327" t="s">
        <v>102</v>
      </c>
      <c r="K327">
        <f>F327*G327</f>
        <v>1016.5</v>
      </c>
      <c r="L327" t="str">
        <f>_xlfn.IFS(D327&lt;20,"Below 20",D327&lt;=30,"20-30",D327&lt;=40,"31-40",D327&lt;=50,"41-50",D327&lt;=60,"51-60",TRUE,"60+")</f>
        <v>31-40</v>
      </c>
      <c r="M327" t="str">
        <f>_xlfn.IFS(K327&lt;500,"Low Spend",K327&lt;=2000,"Medium Spend",K327&lt;=5000,"High Spend",TRUE,"Premium Spend")</f>
        <v>Medium Spend</v>
      </c>
      <c r="N327" t="str">
        <f>_xlfn.IFS(F327=1,"1 Item",F327&lt;=3,"2-3 Items",F327&lt;=5,"4-5 Items",TRUE,"6+ Items")</f>
        <v>4-5 Items</v>
      </c>
      <c r="O327" t="str">
        <f>TEXT(I327,"mmm")</f>
        <v>Jan</v>
      </c>
      <c r="P327">
        <f>MONTH(I327)</f>
        <v>1</v>
      </c>
      <c r="Q327">
        <f>YEAR(I327)</f>
        <v>2023</v>
      </c>
      <c r="R327" t="str">
        <f>IF(K327&gt;=5000,"High Value","Regular")</f>
        <v>Regular</v>
      </c>
      <c r="S327" t="str">
        <f>IF(F327&gt;=4,"Bulk Order","Normal Order")</f>
        <v>Bulk Order</v>
      </c>
    </row>
    <row r="328" spans="1:19" x14ac:dyDescent="0.3">
      <c r="A328" t="s">
        <v>368</v>
      </c>
      <c r="B328" t="s">
        <v>367</v>
      </c>
      <c r="C328" t="s">
        <v>12</v>
      </c>
      <c r="D328">
        <v>48</v>
      </c>
      <c r="E328" t="s">
        <v>19</v>
      </c>
      <c r="F328">
        <v>5</v>
      </c>
      <c r="G328">
        <v>203.3</v>
      </c>
      <c r="H328" t="s">
        <v>1</v>
      </c>
      <c r="I328" s="1">
        <v>44827</v>
      </c>
      <c r="J328" t="s">
        <v>38</v>
      </c>
      <c r="K328">
        <f>F328*G328</f>
        <v>1016.5</v>
      </c>
      <c r="L328" t="str">
        <f>_xlfn.IFS(D328&lt;20,"Below 20",D328&lt;=30,"20-30",D328&lt;=40,"31-40",D328&lt;=50,"41-50",D328&lt;=60,"51-60",TRUE,"60+")</f>
        <v>41-50</v>
      </c>
      <c r="M328" t="str">
        <f>_xlfn.IFS(K328&lt;500,"Low Spend",K328&lt;=2000,"Medium Spend",K328&lt;=5000,"High Spend",TRUE,"Premium Spend")</f>
        <v>Medium Spend</v>
      </c>
      <c r="N328" t="str">
        <f>_xlfn.IFS(F328=1,"1 Item",F328&lt;=3,"2-3 Items",F328&lt;=5,"4-5 Items",TRUE,"6+ Items")</f>
        <v>4-5 Items</v>
      </c>
      <c r="O328" t="str">
        <f>TEXT(I328,"mmm")</f>
        <v>Sep</v>
      </c>
      <c r="P328">
        <f>MONTH(I328)</f>
        <v>9</v>
      </c>
      <c r="Q328">
        <f>YEAR(I328)</f>
        <v>2022</v>
      </c>
      <c r="R328" t="str">
        <f>IF(K328&gt;=5000,"High Value","Regular")</f>
        <v>Regular</v>
      </c>
      <c r="S328" t="str">
        <f>IF(F328&gt;=4,"Bulk Order","Normal Order")</f>
        <v>Bulk Order</v>
      </c>
    </row>
    <row r="329" spans="1:19" x14ac:dyDescent="0.3">
      <c r="A329" t="s">
        <v>366</v>
      </c>
      <c r="B329" t="s">
        <v>365</v>
      </c>
      <c r="C329" t="s">
        <v>3</v>
      </c>
      <c r="D329">
        <v>22</v>
      </c>
      <c r="E329" t="s">
        <v>8</v>
      </c>
      <c r="F329">
        <v>1</v>
      </c>
      <c r="G329">
        <v>300.08</v>
      </c>
      <c r="H329" t="s">
        <v>1</v>
      </c>
      <c r="I329" s="1">
        <v>44447</v>
      </c>
      <c r="J329" t="s">
        <v>28</v>
      </c>
      <c r="K329">
        <f>F329*G329</f>
        <v>300.08</v>
      </c>
      <c r="L329" t="str">
        <f>_xlfn.IFS(D329&lt;20,"Below 20",D329&lt;=30,"20-30",D329&lt;=40,"31-40",D329&lt;=50,"41-50",D329&lt;=60,"51-60",TRUE,"60+")</f>
        <v>20-30</v>
      </c>
      <c r="M329" t="str">
        <f>_xlfn.IFS(K329&lt;500,"Low Spend",K329&lt;=2000,"Medium Spend",K329&lt;=5000,"High Spend",TRUE,"Premium Spend")</f>
        <v>Low Spend</v>
      </c>
      <c r="N329" t="str">
        <f>_xlfn.IFS(F329=1,"1 Item",F329&lt;=3,"2-3 Items",F329&lt;=5,"4-5 Items",TRUE,"6+ Items")</f>
        <v>1 Item</v>
      </c>
      <c r="O329" t="str">
        <f>TEXT(I329,"mmm")</f>
        <v>Sep</v>
      </c>
      <c r="P329">
        <f>MONTH(I329)</f>
        <v>9</v>
      </c>
      <c r="Q329">
        <f>YEAR(I329)</f>
        <v>2021</v>
      </c>
      <c r="R329" t="str">
        <f>IF(K329&gt;=5000,"High Value","Regular")</f>
        <v>Regular</v>
      </c>
      <c r="S329" t="str">
        <f>IF(F329&gt;=4,"Bulk Order","Normal Order")</f>
        <v>Normal Order</v>
      </c>
    </row>
    <row r="330" spans="1:19" x14ac:dyDescent="0.3">
      <c r="A330" t="s">
        <v>364</v>
      </c>
      <c r="B330" t="s">
        <v>363</v>
      </c>
      <c r="C330" t="s">
        <v>3</v>
      </c>
      <c r="D330">
        <v>52</v>
      </c>
      <c r="E330" t="s">
        <v>112</v>
      </c>
      <c r="F330">
        <v>3</v>
      </c>
      <c r="G330">
        <v>3150</v>
      </c>
      <c r="H330" t="s">
        <v>7</v>
      </c>
      <c r="I330" s="1">
        <v>44865</v>
      </c>
      <c r="J330" t="s">
        <v>0</v>
      </c>
      <c r="K330">
        <f>F330*G330</f>
        <v>9450</v>
      </c>
      <c r="L330" t="str">
        <f>_xlfn.IFS(D330&lt;20,"Below 20",D330&lt;=30,"20-30",D330&lt;=40,"31-40",D330&lt;=50,"41-50",D330&lt;=60,"51-60",TRUE,"60+")</f>
        <v>51-60</v>
      </c>
      <c r="M330" t="str">
        <f>_xlfn.IFS(K330&lt;500,"Low Spend",K330&lt;=2000,"Medium Spend",K330&lt;=5000,"High Spend",TRUE,"Premium Spend")</f>
        <v>Premium Spend</v>
      </c>
      <c r="N330" t="str">
        <f>_xlfn.IFS(F330=1,"1 Item",F330&lt;=3,"2-3 Items",F330&lt;=5,"4-5 Items",TRUE,"6+ Items")</f>
        <v>2-3 Items</v>
      </c>
      <c r="O330" t="str">
        <f>TEXT(I330,"mmm")</f>
        <v>Oct</v>
      </c>
      <c r="P330">
        <f>MONTH(I330)</f>
        <v>10</v>
      </c>
      <c r="Q330">
        <f>YEAR(I330)</f>
        <v>2022</v>
      </c>
      <c r="R330" t="str">
        <f>IF(K330&gt;=5000,"High Value","Regular")</f>
        <v>High Value</v>
      </c>
      <c r="S330" t="str">
        <f>IF(F330&gt;=4,"Bulk Order","Normal Order")</f>
        <v>Normal Order</v>
      </c>
    </row>
    <row r="331" spans="1:19" x14ac:dyDescent="0.3">
      <c r="A331" t="s">
        <v>362</v>
      </c>
      <c r="B331" t="s">
        <v>361</v>
      </c>
      <c r="C331" t="s">
        <v>12</v>
      </c>
      <c r="D331">
        <v>45</v>
      </c>
      <c r="E331" t="s">
        <v>8</v>
      </c>
      <c r="F331">
        <v>5</v>
      </c>
      <c r="G331">
        <v>1500.4</v>
      </c>
      <c r="H331" t="s">
        <v>7</v>
      </c>
      <c r="I331" s="1">
        <v>44487</v>
      </c>
      <c r="J331" t="s">
        <v>11</v>
      </c>
      <c r="K331">
        <f>F331*G331</f>
        <v>7502</v>
      </c>
      <c r="L331" t="str">
        <f>_xlfn.IFS(D331&lt;20,"Below 20",D331&lt;=30,"20-30",D331&lt;=40,"31-40",D331&lt;=50,"41-50",D331&lt;=60,"51-60",TRUE,"60+")</f>
        <v>41-50</v>
      </c>
      <c r="M331" t="str">
        <f>_xlfn.IFS(K331&lt;500,"Low Spend",K331&lt;=2000,"Medium Spend",K331&lt;=5000,"High Spend",TRUE,"Premium Spend")</f>
        <v>Premium Spend</v>
      </c>
      <c r="N331" t="str">
        <f>_xlfn.IFS(F331=1,"1 Item",F331&lt;=3,"2-3 Items",F331&lt;=5,"4-5 Items",TRUE,"6+ Items")</f>
        <v>4-5 Items</v>
      </c>
      <c r="O331" t="str">
        <f>TEXT(I331,"mmm")</f>
        <v>Oct</v>
      </c>
      <c r="P331">
        <f>MONTH(I331)</f>
        <v>10</v>
      </c>
      <c r="Q331">
        <f>YEAR(I331)</f>
        <v>2021</v>
      </c>
      <c r="R331" t="str">
        <f>IF(K331&gt;=5000,"High Value","Regular")</f>
        <v>High Value</v>
      </c>
      <c r="S331" t="str">
        <f>IF(F331&gt;=4,"Bulk Order","Normal Order")</f>
        <v>Bulk Order</v>
      </c>
    </row>
    <row r="332" spans="1:19" x14ac:dyDescent="0.3">
      <c r="A332" t="s">
        <v>360</v>
      </c>
      <c r="B332" t="s">
        <v>359</v>
      </c>
      <c r="C332" t="s">
        <v>12</v>
      </c>
      <c r="D332">
        <v>64</v>
      </c>
      <c r="E332" t="s">
        <v>8</v>
      </c>
      <c r="F332">
        <v>4</v>
      </c>
      <c r="G332">
        <v>1200.32</v>
      </c>
      <c r="H332" t="s">
        <v>1</v>
      </c>
      <c r="I332" s="1">
        <v>44757</v>
      </c>
      <c r="J332" t="s">
        <v>22</v>
      </c>
      <c r="K332">
        <f>F332*G332</f>
        <v>4801.28</v>
      </c>
      <c r="L332" t="str">
        <f>_xlfn.IFS(D332&lt;20,"Below 20",D332&lt;=30,"20-30",D332&lt;=40,"31-40",D332&lt;=50,"41-50",D332&lt;=60,"51-60",TRUE,"60+")</f>
        <v>60+</v>
      </c>
      <c r="M332" t="str">
        <f>_xlfn.IFS(K332&lt;500,"Low Spend",K332&lt;=2000,"Medium Spend",K332&lt;=5000,"High Spend",TRUE,"Premium Spend")</f>
        <v>High Spend</v>
      </c>
      <c r="N332" t="str">
        <f>_xlfn.IFS(F332=1,"1 Item",F332&lt;=3,"2-3 Items",F332&lt;=5,"4-5 Items",TRUE,"6+ Items")</f>
        <v>4-5 Items</v>
      </c>
      <c r="O332" t="str">
        <f>TEXT(I332,"mmm")</f>
        <v>Jul</v>
      </c>
      <c r="P332">
        <f>MONTH(I332)</f>
        <v>7</v>
      </c>
      <c r="Q332">
        <f>YEAR(I332)</f>
        <v>2022</v>
      </c>
      <c r="R332" t="str">
        <f>IF(K332&gt;=5000,"High Value","Regular")</f>
        <v>Regular</v>
      </c>
      <c r="S332" t="str">
        <f>IF(F332&gt;=4,"Bulk Order","Normal Order")</f>
        <v>Bulk Order</v>
      </c>
    </row>
    <row r="333" spans="1:19" x14ac:dyDescent="0.3">
      <c r="A333" t="s">
        <v>358</v>
      </c>
      <c r="B333" t="s">
        <v>357</v>
      </c>
      <c r="C333" t="s">
        <v>12</v>
      </c>
      <c r="D333">
        <v>38</v>
      </c>
      <c r="E333" t="s">
        <v>23</v>
      </c>
      <c r="F333">
        <v>5</v>
      </c>
      <c r="G333">
        <v>58.65</v>
      </c>
      <c r="H333" t="s">
        <v>1</v>
      </c>
      <c r="I333" s="1">
        <v>44347</v>
      </c>
      <c r="J333" t="s">
        <v>22</v>
      </c>
      <c r="K333">
        <f>F333*G333</f>
        <v>293.25</v>
      </c>
      <c r="L333" t="str">
        <f>_xlfn.IFS(D333&lt;20,"Below 20",D333&lt;=30,"20-30",D333&lt;=40,"31-40",D333&lt;=50,"41-50",D333&lt;=60,"51-60",TRUE,"60+")</f>
        <v>31-40</v>
      </c>
      <c r="M333" t="str">
        <f>_xlfn.IFS(K333&lt;500,"Low Spend",K333&lt;=2000,"Medium Spend",K333&lt;=5000,"High Spend",TRUE,"Premium Spend")</f>
        <v>Low Spend</v>
      </c>
      <c r="N333" t="str">
        <f>_xlfn.IFS(F333=1,"1 Item",F333&lt;=3,"2-3 Items",F333&lt;=5,"4-5 Items",TRUE,"6+ Items")</f>
        <v>4-5 Items</v>
      </c>
      <c r="O333" t="str">
        <f>TEXT(I333,"mmm")</f>
        <v>May</v>
      </c>
      <c r="P333">
        <f>MONTH(I333)</f>
        <v>5</v>
      </c>
      <c r="Q333">
        <f>YEAR(I333)</f>
        <v>2021</v>
      </c>
      <c r="R333" t="str">
        <f>IF(K333&gt;=5000,"High Value","Regular")</f>
        <v>Regular</v>
      </c>
      <c r="S333" t="str">
        <f>IF(F333&gt;=4,"Bulk Order","Normal Order")</f>
        <v>Bulk Order</v>
      </c>
    </row>
    <row r="334" spans="1:19" x14ac:dyDescent="0.3">
      <c r="A334" t="s">
        <v>356</v>
      </c>
      <c r="B334" t="s">
        <v>355</v>
      </c>
      <c r="C334" t="s">
        <v>3</v>
      </c>
      <c r="D334">
        <v>45</v>
      </c>
      <c r="E334" t="s">
        <v>31</v>
      </c>
      <c r="F334">
        <v>2</v>
      </c>
      <c r="G334">
        <v>1200.3399999999999</v>
      </c>
      <c r="H334" t="s">
        <v>15</v>
      </c>
      <c r="I334" s="1">
        <v>44552</v>
      </c>
      <c r="J334" t="s">
        <v>28</v>
      </c>
      <c r="K334">
        <f>F334*G334</f>
        <v>2400.6799999999998</v>
      </c>
      <c r="L334" t="str">
        <f>_xlfn.IFS(D334&lt;20,"Below 20",D334&lt;=30,"20-30",D334&lt;=40,"31-40",D334&lt;=50,"41-50",D334&lt;=60,"51-60",TRUE,"60+")</f>
        <v>41-50</v>
      </c>
      <c r="M334" t="str">
        <f>_xlfn.IFS(K334&lt;500,"Low Spend",K334&lt;=2000,"Medium Spend",K334&lt;=5000,"High Spend",TRUE,"Premium Spend")</f>
        <v>High Spend</v>
      </c>
      <c r="N334" t="str">
        <f>_xlfn.IFS(F334=1,"1 Item",F334&lt;=3,"2-3 Items",F334&lt;=5,"4-5 Items",TRUE,"6+ Items")</f>
        <v>2-3 Items</v>
      </c>
      <c r="O334" t="str">
        <f>TEXT(I334,"mmm")</f>
        <v>Dec</v>
      </c>
      <c r="P334">
        <f>MONTH(I334)</f>
        <v>12</v>
      </c>
      <c r="Q334">
        <f>YEAR(I334)</f>
        <v>2021</v>
      </c>
      <c r="R334" t="str">
        <f>IF(K334&gt;=5000,"High Value","Regular")</f>
        <v>Regular</v>
      </c>
      <c r="S334" t="str">
        <f>IF(F334&gt;=4,"Bulk Order","Normal Order")</f>
        <v>Normal Order</v>
      </c>
    </row>
    <row r="335" spans="1:19" x14ac:dyDescent="0.3">
      <c r="A335" t="s">
        <v>354</v>
      </c>
      <c r="B335" t="s">
        <v>353</v>
      </c>
      <c r="C335" t="s">
        <v>3</v>
      </c>
      <c r="D335">
        <v>41</v>
      </c>
      <c r="E335" t="s">
        <v>23</v>
      </c>
      <c r="F335">
        <v>5</v>
      </c>
      <c r="G335">
        <v>58.65</v>
      </c>
      <c r="H335" t="s">
        <v>15</v>
      </c>
      <c r="I335" s="1">
        <v>44862</v>
      </c>
      <c r="J335" t="s">
        <v>68</v>
      </c>
      <c r="K335">
        <f>F335*G335</f>
        <v>293.25</v>
      </c>
      <c r="L335" t="str">
        <f>_xlfn.IFS(D335&lt;20,"Below 20",D335&lt;=30,"20-30",D335&lt;=40,"31-40",D335&lt;=50,"41-50",D335&lt;=60,"51-60",TRUE,"60+")</f>
        <v>41-50</v>
      </c>
      <c r="M335" t="str">
        <f>_xlfn.IFS(K335&lt;500,"Low Spend",K335&lt;=2000,"Medium Spend",K335&lt;=5000,"High Spend",TRUE,"Premium Spend")</f>
        <v>Low Spend</v>
      </c>
      <c r="N335" t="str">
        <f>_xlfn.IFS(F335=1,"1 Item",F335&lt;=3,"2-3 Items",F335&lt;=5,"4-5 Items",TRUE,"6+ Items")</f>
        <v>4-5 Items</v>
      </c>
      <c r="O335" t="str">
        <f>TEXT(I335,"mmm")</f>
        <v>Oct</v>
      </c>
      <c r="P335">
        <f>MONTH(I335)</f>
        <v>10</v>
      </c>
      <c r="Q335">
        <f>YEAR(I335)</f>
        <v>2022</v>
      </c>
      <c r="R335" t="str">
        <f>IF(K335&gt;=5000,"High Value","Regular")</f>
        <v>Regular</v>
      </c>
      <c r="S335" t="str">
        <f>IF(F335&gt;=4,"Bulk Order","Normal Order")</f>
        <v>Bulk Order</v>
      </c>
    </row>
    <row r="336" spans="1:19" x14ac:dyDescent="0.3">
      <c r="A336" t="s">
        <v>352</v>
      </c>
      <c r="B336" t="s">
        <v>351</v>
      </c>
      <c r="C336" t="s">
        <v>3</v>
      </c>
      <c r="D336">
        <v>57</v>
      </c>
      <c r="E336" t="s">
        <v>19</v>
      </c>
      <c r="F336">
        <v>1</v>
      </c>
      <c r="G336">
        <v>40.659999999999997</v>
      </c>
      <c r="H336" t="s">
        <v>15</v>
      </c>
      <c r="I336" s="1">
        <v>44360</v>
      </c>
      <c r="J336" t="s">
        <v>97</v>
      </c>
      <c r="K336">
        <f>F336*G336</f>
        <v>40.659999999999997</v>
      </c>
      <c r="L336" t="str">
        <f>_xlfn.IFS(D336&lt;20,"Below 20",D336&lt;=30,"20-30",D336&lt;=40,"31-40",D336&lt;=50,"41-50",D336&lt;=60,"51-60",TRUE,"60+")</f>
        <v>51-60</v>
      </c>
      <c r="M336" t="str">
        <f>_xlfn.IFS(K336&lt;500,"Low Spend",K336&lt;=2000,"Medium Spend",K336&lt;=5000,"High Spend",TRUE,"Premium Spend")</f>
        <v>Low Spend</v>
      </c>
      <c r="N336" t="str">
        <f>_xlfn.IFS(F336=1,"1 Item",F336&lt;=3,"2-3 Items",F336&lt;=5,"4-5 Items",TRUE,"6+ Items")</f>
        <v>1 Item</v>
      </c>
      <c r="O336" t="str">
        <f>TEXT(I336,"mmm")</f>
        <v>Jun</v>
      </c>
      <c r="P336">
        <f>MONTH(I336)</f>
        <v>6</v>
      </c>
      <c r="Q336">
        <f>YEAR(I336)</f>
        <v>2021</v>
      </c>
      <c r="R336" t="str">
        <f>IF(K336&gt;=5000,"High Value","Regular")</f>
        <v>Regular</v>
      </c>
      <c r="S336" t="str">
        <f>IF(F336&gt;=4,"Bulk Order","Normal Order")</f>
        <v>Normal Order</v>
      </c>
    </row>
    <row r="337" spans="1:19" x14ac:dyDescent="0.3">
      <c r="A337" t="s">
        <v>350</v>
      </c>
      <c r="B337" t="s">
        <v>349</v>
      </c>
      <c r="C337" t="s">
        <v>12</v>
      </c>
      <c r="D337">
        <v>57</v>
      </c>
      <c r="E337" t="s">
        <v>16</v>
      </c>
      <c r="F337">
        <v>4</v>
      </c>
      <c r="G337">
        <v>20.92</v>
      </c>
      <c r="H337" t="s">
        <v>7</v>
      </c>
      <c r="I337" s="1">
        <v>44829</v>
      </c>
      <c r="J337" t="s">
        <v>28</v>
      </c>
      <c r="K337">
        <f>F337*G337</f>
        <v>83.68</v>
      </c>
      <c r="L337" t="str">
        <f>_xlfn.IFS(D337&lt;20,"Below 20",D337&lt;=30,"20-30",D337&lt;=40,"31-40",D337&lt;=50,"41-50",D337&lt;=60,"51-60",TRUE,"60+")</f>
        <v>51-60</v>
      </c>
      <c r="M337" t="str">
        <f>_xlfn.IFS(K337&lt;500,"Low Spend",K337&lt;=2000,"Medium Spend",K337&lt;=5000,"High Spend",TRUE,"Premium Spend")</f>
        <v>Low Spend</v>
      </c>
      <c r="N337" t="str">
        <f>_xlfn.IFS(F337=1,"1 Item",F337&lt;=3,"2-3 Items",F337&lt;=5,"4-5 Items",TRUE,"6+ Items")</f>
        <v>4-5 Items</v>
      </c>
      <c r="O337" t="str">
        <f>TEXT(I337,"mmm")</f>
        <v>Sep</v>
      </c>
      <c r="P337">
        <f>MONTH(I337)</f>
        <v>9</v>
      </c>
      <c r="Q337">
        <f>YEAR(I337)</f>
        <v>2022</v>
      </c>
      <c r="R337" t="str">
        <f>IF(K337&gt;=5000,"High Value","Regular")</f>
        <v>Regular</v>
      </c>
      <c r="S337" t="str">
        <f>IF(F337&gt;=4,"Bulk Order","Normal Order")</f>
        <v>Bulk Order</v>
      </c>
    </row>
    <row r="338" spans="1:19" x14ac:dyDescent="0.3">
      <c r="A338" t="s">
        <v>348</v>
      </c>
      <c r="B338" t="s">
        <v>347</v>
      </c>
      <c r="C338" t="s">
        <v>3</v>
      </c>
      <c r="D338">
        <v>60</v>
      </c>
      <c r="E338" t="s">
        <v>61</v>
      </c>
      <c r="F338">
        <v>1</v>
      </c>
      <c r="G338">
        <v>15.15</v>
      </c>
      <c r="H338" t="s">
        <v>1</v>
      </c>
      <c r="I338" s="1">
        <v>44426</v>
      </c>
      <c r="J338" t="s">
        <v>22</v>
      </c>
      <c r="K338">
        <f>F338*G338</f>
        <v>15.15</v>
      </c>
      <c r="L338" t="str">
        <f>_xlfn.IFS(D338&lt;20,"Below 20",D338&lt;=30,"20-30",D338&lt;=40,"31-40",D338&lt;=50,"41-50",D338&lt;=60,"51-60",TRUE,"60+")</f>
        <v>51-60</v>
      </c>
      <c r="M338" t="str">
        <f>_xlfn.IFS(K338&lt;500,"Low Spend",K338&lt;=2000,"Medium Spend",K338&lt;=5000,"High Spend",TRUE,"Premium Spend")</f>
        <v>Low Spend</v>
      </c>
      <c r="N338" t="str">
        <f>_xlfn.IFS(F338=1,"1 Item",F338&lt;=3,"2-3 Items",F338&lt;=5,"4-5 Items",TRUE,"6+ Items")</f>
        <v>1 Item</v>
      </c>
      <c r="O338" t="str">
        <f>TEXT(I338,"mmm")</f>
        <v>Aug</v>
      </c>
      <c r="P338">
        <f>MONTH(I338)</f>
        <v>8</v>
      </c>
      <c r="Q338">
        <f>YEAR(I338)</f>
        <v>2021</v>
      </c>
      <c r="R338" t="str">
        <f>IF(K338&gt;=5000,"High Value","Regular")</f>
        <v>Regular</v>
      </c>
      <c r="S338" t="str">
        <f>IF(F338&gt;=4,"Bulk Order","Normal Order")</f>
        <v>Normal Order</v>
      </c>
    </row>
    <row r="339" spans="1:19" x14ac:dyDescent="0.3">
      <c r="A339" t="s">
        <v>346</v>
      </c>
      <c r="B339" t="s">
        <v>345</v>
      </c>
      <c r="C339" t="s">
        <v>3</v>
      </c>
      <c r="D339">
        <v>44</v>
      </c>
      <c r="E339" t="s">
        <v>16</v>
      </c>
      <c r="F339">
        <v>2</v>
      </c>
      <c r="G339">
        <v>10.46</v>
      </c>
      <c r="H339" t="s">
        <v>7</v>
      </c>
      <c r="I339" s="1">
        <v>44455</v>
      </c>
      <c r="J339" t="s">
        <v>28</v>
      </c>
      <c r="K339">
        <f>F339*G339</f>
        <v>20.92</v>
      </c>
      <c r="L339" t="str">
        <f>_xlfn.IFS(D339&lt;20,"Below 20",D339&lt;=30,"20-30",D339&lt;=40,"31-40",D339&lt;=50,"41-50",D339&lt;=60,"51-60",TRUE,"60+")</f>
        <v>41-50</v>
      </c>
      <c r="M339" t="str">
        <f>_xlfn.IFS(K339&lt;500,"Low Spend",K339&lt;=2000,"Medium Spend",K339&lt;=5000,"High Spend",TRUE,"Premium Spend")</f>
        <v>Low Spend</v>
      </c>
      <c r="N339" t="str">
        <f>_xlfn.IFS(F339=1,"1 Item",F339&lt;=3,"2-3 Items",F339&lt;=5,"4-5 Items",TRUE,"6+ Items")</f>
        <v>2-3 Items</v>
      </c>
      <c r="O339" t="str">
        <f>TEXT(I339,"mmm")</f>
        <v>Sep</v>
      </c>
      <c r="P339">
        <f>MONTH(I339)</f>
        <v>9</v>
      </c>
      <c r="Q339">
        <f>YEAR(I339)</f>
        <v>2021</v>
      </c>
      <c r="R339" t="str">
        <f>IF(K339&gt;=5000,"High Value","Regular")</f>
        <v>Regular</v>
      </c>
      <c r="S339" t="str">
        <f>IF(F339&gt;=4,"Bulk Order","Normal Order")</f>
        <v>Normal Order</v>
      </c>
    </row>
    <row r="340" spans="1:19" x14ac:dyDescent="0.3">
      <c r="A340" t="s">
        <v>344</v>
      </c>
      <c r="B340" t="s">
        <v>343</v>
      </c>
      <c r="C340" t="s">
        <v>12</v>
      </c>
      <c r="D340">
        <v>38</v>
      </c>
      <c r="E340" t="s">
        <v>19</v>
      </c>
      <c r="F340">
        <v>5</v>
      </c>
      <c r="G340">
        <v>203.3</v>
      </c>
      <c r="H340" t="s">
        <v>15</v>
      </c>
      <c r="I340" s="1">
        <v>44880</v>
      </c>
      <c r="J340" t="s">
        <v>11</v>
      </c>
      <c r="K340">
        <f>F340*G340</f>
        <v>1016.5</v>
      </c>
      <c r="L340" t="str">
        <f>_xlfn.IFS(D340&lt;20,"Below 20",D340&lt;=30,"20-30",D340&lt;=40,"31-40",D340&lt;=50,"41-50",D340&lt;=60,"51-60",TRUE,"60+")</f>
        <v>31-40</v>
      </c>
      <c r="M340" t="str">
        <f>_xlfn.IFS(K340&lt;500,"Low Spend",K340&lt;=2000,"Medium Spend",K340&lt;=5000,"High Spend",TRUE,"Premium Spend")</f>
        <v>Medium Spend</v>
      </c>
      <c r="N340" t="str">
        <f>_xlfn.IFS(F340=1,"1 Item",F340&lt;=3,"2-3 Items",F340&lt;=5,"4-5 Items",TRUE,"6+ Items")</f>
        <v>4-5 Items</v>
      </c>
      <c r="O340" t="str">
        <f>TEXT(I340,"mmm")</f>
        <v>Nov</v>
      </c>
      <c r="P340">
        <f>MONTH(I340)</f>
        <v>11</v>
      </c>
      <c r="Q340">
        <f>YEAR(I340)</f>
        <v>2022</v>
      </c>
      <c r="R340" t="str">
        <f>IF(K340&gt;=5000,"High Value","Regular")</f>
        <v>Regular</v>
      </c>
      <c r="S340" t="str">
        <f>IF(F340&gt;=4,"Bulk Order","Normal Order")</f>
        <v>Bulk Order</v>
      </c>
    </row>
    <row r="341" spans="1:19" x14ac:dyDescent="0.3">
      <c r="A341" t="s">
        <v>342</v>
      </c>
      <c r="B341" t="s">
        <v>341</v>
      </c>
      <c r="C341" t="s">
        <v>12</v>
      </c>
      <c r="D341">
        <v>65</v>
      </c>
      <c r="E341" t="s">
        <v>16</v>
      </c>
      <c r="F341">
        <v>3</v>
      </c>
      <c r="G341">
        <v>15.69</v>
      </c>
      <c r="H341" t="s">
        <v>1</v>
      </c>
      <c r="I341" s="1">
        <v>44415</v>
      </c>
      <c r="J341" t="s">
        <v>22</v>
      </c>
      <c r="K341">
        <f>F341*G341</f>
        <v>47.07</v>
      </c>
      <c r="L341" t="str">
        <f>_xlfn.IFS(D341&lt;20,"Below 20",D341&lt;=30,"20-30",D341&lt;=40,"31-40",D341&lt;=50,"41-50",D341&lt;=60,"51-60",TRUE,"60+")</f>
        <v>60+</v>
      </c>
      <c r="M341" t="str">
        <f>_xlfn.IFS(K341&lt;500,"Low Spend",K341&lt;=2000,"Medium Spend",K341&lt;=5000,"High Spend",TRUE,"Premium Spend")</f>
        <v>Low Spend</v>
      </c>
      <c r="N341" t="str">
        <f>_xlfn.IFS(F341=1,"1 Item",F341&lt;=3,"2-3 Items",F341&lt;=5,"4-5 Items",TRUE,"6+ Items")</f>
        <v>2-3 Items</v>
      </c>
      <c r="O341" t="str">
        <f>TEXT(I341,"mmm")</f>
        <v>Aug</v>
      </c>
      <c r="P341">
        <f>MONTH(I341)</f>
        <v>8</v>
      </c>
      <c r="Q341">
        <f>YEAR(I341)</f>
        <v>2021</v>
      </c>
      <c r="R341" t="str">
        <f>IF(K341&gt;=5000,"High Value","Regular")</f>
        <v>Regular</v>
      </c>
      <c r="S341" t="str">
        <f>IF(F341&gt;=4,"Bulk Order","Normal Order")</f>
        <v>Normal Order</v>
      </c>
    </row>
    <row r="342" spans="1:19" x14ac:dyDescent="0.3">
      <c r="A342" t="s">
        <v>340</v>
      </c>
      <c r="B342" t="s">
        <v>339</v>
      </c>
      <c r="C342" t="s">
        <v>12</v>
      </c>
      <c r="D342">
        <v>30</v>
      </c>
      <c r="E342" t="s">
        <v>8</v>
      </c>
      <c r="F342">
        <v>1</v>
      </c>
      <c r="G342">
        <v>300.08</v>
      </c>
      <c r="H342" t="s">
        <v>7</v>
      </c>
      <c r="I342" s="1">
        <v>44341</v>
      </c>
      <c r="J342" t="s">
        <v>68</v>
      </c>
      <c r="K342">
        <f>F342*G342</f>
        <v>300.08</v>
      </c>
      <c r="L342" t="str">
        <f>_xlfn.IFS(D342&lt;20,"Below 20",D342&lt;=30,"20-30",D342&lt;=40,"31-40",D342&lt;=50,"41-50",D342&lt;=60,"51-60",TRUE,"60+")</f>
        <v>20-30</v>
      </c>
      <c r="M342" t="str">
        <f>_xlfn.IFS(K342&lt;500,"Low Spend",K342&lt;=2000,"Medium Spend",K342&lt;=5000,"High Spend",TRUE,"Premium Spend")</f>
        <v>Low Spend</v>
      </c>
      <c r="N342" t="str">
        <f>_xlfn.IFS(F342=1,"1 Item",F342&lt;=3,"2-3 Items",F342&lt;=5,"4-5 Items",TRUE,"6+ Items")</f>
        <v>1 Item</v>
      </c>
      <c r="O342" t="str">
        <f>TEXT(I342,"mmm")</f>
        <v>May</v>
      </c>
      <c r="P342">
        <f>MONTH(I342)</f>
        <v>5</v>
      </c>
      <c r="Q342">
        <f>YEAR(I342)</f>
        <v>2021</v>
      </c>
      <c r="R342" t="str">
        <f>IF(K342&gt;=5000,"High Value","Regular")</f>
        <v>Regular</v>
      </c>
      <c r="S342" t="str">
        <f>IF(F342&gt;=4,"Bulk Order","Normal Order")</f>
        <v>Normal Order</v>
      </c>
    </row>
    <row r="343" spans="1:19" x14ac:dyDescent="0.3">
      <c r="A343" t="s">
        <v>338</v>
      </c>
      <c r="B343" t="s">
        <v>337</v>
      </c>
      <c r="C343" t="s">
        <v>3</v>
      </c>
      <c r="D343">
        <v>50</v>
      </c>
      <c r="E343" t="s">
        <v>8</v>
      </c>
      <c r="F343">
        <v>2</v>
      </c>
      <c r="G343">
        <v>600.16</v>
      </c>
      <c r="H343" t="s">
        <v>7</v>
      </c>
      <c r="I343" s="1">
        <v>44754</v>
      </c>
      <c r="J343" t="s">
        <v>0</v>
      </c>
      <c r="K343">
        <f>F343*G343</f>
        <v>1200.32</v>
      </c>
      <c r="L343" t="str">
        <f>_xlfn.IFS(D343&lt;20,"Below 20",D343&lt;=30,"20-30",D343&lt;=40,"31-40",D343&lt;=50,"41-50",D343&lt;=60,"51-60",TRUE,"60+")</f>
        <v>41-50</v>
      </c>
      <c r="M343" t="str">
        <f>_xlfn.IFS(K343&lt;500,"Low Spend",K343&lt;=2000,"Medium Spend",K343&lt;=5000,"High Spend",TRUE,"Premium Spend")</f>
        <v>Medium Spend</v>
      </c>
      <c r="N343" t="str">
        <f>_xlfn.IFS(F343=1,"1 Item",F343&lt;=3,"2-3 Items",F343&lt;=5,"4-5 Items",TRUE,"6+ Items")</f>
        <v>2-3 Items</v>
      </c>
      <c r="O343" t="str">
        <f>TEXT(I343,"mmm")</f>
        <v>Jul</v>
      </c>
      <c r="P343">
        <f>MONTH(I343)</f>
        <v>7</v>
      </c>
      <c r="Q343">
        <f>YEAR(I343)</f>
        <v>2022</v>
      </c>
      <c r="R343" t="str">
        <f>IF(K343&gt;=5000,"High Value","Regular")</f>
        <v>Regular</v>
      </c>
      <c r="S343" t="str">
        <f>IF(F343&gt;=4,"Bulk Order","Normal Order")</f>
        <v>Normal Order</v>
      </c>
    </row>
    <row r="344" spans="1:19" x14ac:dyDescent="0.3">
      <c r="A344" t="s">
        <v>336</v>
      </c>
      <c r="B344" t="s">
        <v>335</v>
      </c>
      <c r="C344" t="s">
        <v>3</v>
      </c>
      <c r="D344">
        <v>19</v>
      </c>
      <c r="E344" t="s">
        <v>16</v>
      </c>
      <c r="F344">
        <v>3</v>
      </c>
      <c r="G344">
        <v>15.69</v>
      </c>
      <c r="H344" t="s">
        <v>1</v>
      </c>
      <c r="I344" s="1">
        <v>44818</v>
      </c>
      <c r="J344" t="s">
        <v>97</v>
      </c>
      <c r="K344">
        <f>F344*G344</f>
        <v>47.07</v>
      </c>
      <c r="L344" t="str">
        <f>_xlfn.IFS(D344&lt;20,"Below 20",D344&lt;=30,"20-30",D344&lt;=40,"31-40",D344&lt;=50,"41-50",D344&lt;=60,"51-60",TRUE,"60+")</f>
        <v>Below 20</v>
      </c>
      <c r="M344" t="str">
        <f>_xlfn.IFS(K344&lt;500,"Low Spend",K344&lt;=2000,"Medium Spend",K344&lt;=5000,"High Spend",TRUE,"Premium Spend")</f>
        <v>Low Spend</v>
      </c>
      <c r="N344" t="str">
        <f>_xlfn.IFS(F344=1,"1 Item",F344&lt;=3,"2-3 Items",F344&lt;=5,"4-5 Items",TRUE,"6+ Items")</f>
        <v>2-3 Items</v>
      </c>
      <c r="O344" t="str">
        <f>TEXT(I344,"mmm")</f>
        <v>Sep</v>
      </c>
      <c r="P344">
        <f>MONTH(I344)</f>
        <v>9</v>
      </c>
      <c r="Q344">
        <f>YEAR(I344)</f>
        <v>2022</v>
      </c>
      <c r="R344" t="str">
        <f>IF(K344&gt;=5000,"High Value","Regular")</f>
        <v>Regular</v>
      </c>
      <c r="S344" t="str">
        <f>IF(F344&gt;=4,"Bulk Order","Normal Order")</f>
        <v>Normal Order</v>
      </c>
    </row>
    <row r="345" spans="1:19" x14ac:dyDescent="0.3">
      <c r="A345" t="s">
        <v>334</v>
      </c>
      <c r="B345" t="s">
        <v>333</v>
      </c>
      <c r="C345" t="s">
        <v>12</v>
      </c>
      <c r="D345">
        <v>26</v>
      </c>
      <c r="E345" t="s">
        <v>31</v>
      </c>
      <c r="F345">
        <v>1</v>
      </c>
      <c r="G345">
        <v>600.16999999999996</v>
      </c>
      <c r="H345" t="s">
        <v>7</v>
      </c>
      <c r="I345" s="1">
        <v>44626</v>
      </c>
      <c r="J345" t="s">
        <v>11</v>
      </c>
      <c r="K345">
        <f>F345*G345</f>
        <v>600.16999999999996</v>
      </c>
      <c r="L345" t="str">
        <f>_xlfn.IFS(D345&lt;20,"Below 20",D345&lt;=30,"20-30",D345&lt;=40,"31-40",D345&lt;=50,"41-50",D345&lt;=60,"51-60",TRUE,"60+")</f>
        <v>20-30</v>
      </c>
      <c r="M345" t="str">
        <f>_xlfn.IFS(K345&lt;500,"Low Spend",K345&lt;=2000,"Medium Spend",K345&lt;=5000,"High Spend",TRUE,"Premium Spend")</f>
        <v>Medium Spend</v>
      </c>
      <c r="N345" t="str">
        <f>_xlfn.IFS(F345=1,"1 Item",F345&lt;=3,"2-3 Items",F345&lt;=5,"4-5 Items",TRUE,"6+ Items")</f>
        <v>1 Item</v>
      </c>
      <c r="O345" t="str">
        <f>TEXT(I345,"mmm")</f>
        <v>Mar</v>
      </c>
      <c r="P345">
        <f>MONTH(I345)</f>
        <v>3</v>
      </c>
      <c r="Q345">
        <f>YEAR(I345)</f>
        <v>2022</v>
      </c>
      <c r="R345" t="str">
        <f>IF(K345&gt;=5000,"High Value","Regular")</f>
        <v>Regular</v>
      </c>
      <c r="S345" t="str">
        <f>IF(F345&gt;=4,"Bulk Order","Normal Order")</f>
        <v>Normal Order</v>
      </c>
    </row>
    <row r="346" spans="1:19" x14ac:dyDescent="0.3">
      <c r="A346" t="s">
        <v>332</v>
      </c>
      <c r="B346" t="s">
        <v>331</v>
      </c>
      <c r="C346" t="s">
        <v>3</v>
      </c>
      <c r="D346">
        <v>54</v>
      </c>
      <c r="E346" t="s">
        <v>19</v>
      </c>
      <c r="F346">
        <v>4</v>
      </c>
      <c r="G346">
        <v>162.63999999999999</v>
      </c>
      <c r="H346" t="s">
        <v>1</v>
      </c>
      <c r="I346" s="1">
        <v>44980</v>
      </c>
      <c r="J346" t="s">
        <v>97</v>
      </c>
      <c r="K346">
        <f>F346*G346</f>
        <v>650.55999999999995</v>
      </c>
      <c r="L346" t="str">
        <f>_xlfn.IFS(D346&lt;20,"Below 20",D346&lt;=30,"20-30",D346&lt;=40,"31-40",D346&lt;=50,"41-50",D346&lt;=60,"51-60",TRUE,"60+")</f>
        <v>51-60</v>
      </c>
      <c r="M346" t="str">
        <f>_xlfn.IFS(K346&lt;500,"Low Spend",K346&lt;=2000,"Medium Spend",K346&lt;=5000,"High Spend",TRUE,"Premium Spend")</f>
        <v>Medium Spend</v>
      </c>
      <c r="N346" t="str">
        <f>_xlfn.IFS(F346=1,"1 Item",F346&lt;=3,"2-3 Items",F346&lt;=5,"4-5 Items",TRUE,"6+ Items")</f>
        <v>4-5 Items</v>
      </c>
      <c r="O346" t="str">
        <f>TEXT(I346,"mmm")</f>
        <v>Feb</v>
      </c>
      <c r="P346">
        <f>MONTH(I346)</f>
        <v>2</v>
      </c>
      <c r="Q346">
        <f>YEAR(I346)</f>
        <v>2023</v>
      </c>
      <c r="R346" t="str">
        <f>IF(K346&gt;=5000,"High Value","Regular")</f>
        <v>Regular</v>
      </c>
      <c r="S346" t="str">
        <f>IF(F346&gt;=4,"Bulk Order","Normal Order")</f>
        <v>Bulk Order</v>
      </c>
    </row>
    <row r="347" spans="1:19" x14ac:dyDescent="0.3">
      <c r="A347" t="s">
        <v>330</v>
      </c>
      <c r="B347" t="s">
        <v>329</v>
      </c>
      <c r="C347" t="s">
        <v>3</v>
      </c>
      <c r="D347">
        <v>63</v>
      </c>
      <c r="E347" t="s">
        <v>19</v>
      </c>
      <c r="F347">
        <v>3</v>
      </c>
      <c r="G347">
        <v>121.98</v>
      </c>
      <c r="H347" t="s">
        <v>1</v>
      </c>
      <c r="I347" s="1">
        <v>44372</v>
      </c>
      <c r="J347" t="s">
        <v>38</v>
      </c>
      <c r="K347">
        <f>F347*G347</f>
        <v>365.94</v>
      </c>
      <c r="L347" t="str">
        <f>_xlfn.IFS(D347&lt;20,"Below 20",D347&lt;=30,"20-30",D347&lt;=40,"31-40",D347&lt;=50,"41-50",D347&lt;=60,"51-60",TRUE,"60+")</f>
        <v>60+</v>
      </c>
      <c r="M347" t="str">
        <f>_xlfn.IFS(K347&lt;500,"Low Spend",K347&lt;=2000,"Medium Spend",K347&lt;=5000,"High Spend",TRUE,"Premium Spend")</f>
        <v>Low Spend</v>
      </c>
      <c r="N347" t="str">
        <f>_xlfn.IFS(F347=1,"1 Item",F347&lt;=3,"2-3 Items",F347&lt;=5,"4-5 Items",TRUE,"6+ Items")</f>
        <v>2-3 Items</v>
      </c>
      <c r="O347" t="str">
        <f>TEXT(I347,"mmm")</f>
        <v>Jun</v>
      </c>
      <c r="P347">
        <f>MONTH(I347)</f>
        <v>6</v>
      </c>
      <c r="Q347">
        <f>YEAR(I347)</f>
        <v>2021</v>
      </c>
      <c r="R347" t="str">
        <f>IF(K347&gt;=5000,"High Value","Regular")</f>
        <v>Regular</v>
      </c>
      <c r="S347" t="str">
        <f>IF(F347&gt;=4,"Bulk Order","Normal Order")</f>
        <v>Normal Order</v>
      </c>
    </row>
    <row r="348" spans="1:19" x14ac:dyDescent="0.3">
      <c r="A348" t="s">
        <v>328</v>
      </c>
      <c r="B348" t="s">
        <v>327</v>
      </c>
      <c r="C348" t="s">
        <v>3</v>
      </c>
      <c r="D348">
        <v>66</v>
      </c>
      <c r="E348" t="s">
        <v>8</v>
      </c>
      <c r="F348">
        <v>2</v>
      </c>
      <c r="G348">
        <v>600.16</v>
      </c>
      <c r="H348" t="s">
        <v>7</v>
      </c>
      <c r="I348" s="1">
        <v>44773</v>
      </c>
      <c r="J348" t="s">
        <v>11</v>
      </c>
      <c r="K348">
        <f>F348*G348</f>
        <v>1200.32</v>
      </c>
      <c r="L348" t="str">
        <f>_xlfn.IFS(D348&lt;20,"Below 20",D348&lt;=30,"20-30",D348&lt;=40,"31-40",D348&lt;=50,"41-50",D348&lt;=60,"51-60",TRUE,"60+")</f>
        <v>60+</v>
      </c>
      <c r="M348" t="str">
        <f>_xlfn.IFS(K348&lt;500,"Low Spend",K348&lt;=2000,"Medium Spend",K348&lt;=5000,"High Spend",TRUE,"Premium Spend")</f>
        <v>Medium Spend</v>
      </c>
      <c r="N348" t="str">
        <f>_xlfn.IFS(F348=1,"1 Item",F348&lt;=3,"2-3 Items",F348&lt;=5,"4-5 Items",TRUE,"6+ Items")</f>
        <v>2-3 Items</v>
      </c>
      <c r="O348" t="str">
        <f>TEXT(I348,"mmm")</f>
        <v>Jul</v>
      </c>
      <c r="P348">
        <f>MONTH(I348)</f>
        <v>7</v>
      </c>
      <c r="Q348">
        <f>YEAR(I348)</f>
        <v>2022</v>
      </c>
      <c r="R348" t="str">
        <f>IF(K348&gt;=5000,"High Value","Regular")</f>
        <v>Regular</v>
      </c>
      <c r="S348" t="str">
        <f>IF(F348&gt;=4,"Bulk Order","Normal Order")</f>
        <v>Normal Order</v>
      </c>
    </row>
    <row r="349" spans="1:19" x14ac:dyDescent="0.3">
      <c r="A349" t="s">
        <v>326</v>
      </c>
      <c r="B349" t="s">
        <v>325</v>
      </c>
      <c r="C349" t="s">
        <v>3</v>
      </c>
      <c r="D349">
        <v>48</v>
      </c>
      <c r="E349" t="s">
        <v>19</v>
      </c>
      <c r="F349">
        <v>2</v>
      </c>
      <c r="G349">
        <v>81.319999999999993</v>
      </c>
      <c r="H349" t="s">
        <v>7</v>
      </c>
      <c r="I349" s="1">
        <v>44294</v>
      </c>
      <c r="J349" t="s">
        <v>22</v>
      </c>
      <c r="K349">
        <f>F349*G349</f>
        <v>162.63999999999999</v>
      </c>
      <c r="L349" t="str">
        <f>_xlfn.IFS(D349&lt;20,"Below 20",D349&lt;=30,"20-30",D349&lt;=40,"31-40",D349&lt;=50,"41-50",D349&lt;=60,"51-60",TRUE,"60+")</f>
        <v>41-50</v>
      </c>
      <c r="M349" t="str">
        <f>_xlfn.IFS(K349&lt;500,"Low Spend",K349&lt;=2000,"Medium Spend",K349&lt;=5000,"High Spend",TRUE,"Premium Spend")</f>
        <v>Low Spend</v>
      </c>
      <c r="N349" t="str">
        <f>_xlfn.IFS(F349=1,"1 Item",F349&lt;=3,"2-3 Items",F349&lt;=5,"4-5 Items",TRUE,"6+ Items")</f>
        <v>2-3 Items</v>
      </c>
      <c r="O349" t="str">
        <f>TEXT(I349,"mmm")</f>
        <v>Apr</v>
      </c>
      <c r="P349">
        <f>MONTH(I349)</f>
        <v>4</v>
      </c>
      <c r="Q349">
        <f>YEAR(I349)</f>
        <v>2021</v>
      </c>
      <c r="R349" t="str">
        <f>IF(K349&gt;=5000,"High Value","Regular")</f>
        <v>Regular</v>
      </c>
      <c r="S349" t="str">
        <f>IF(F349&gt;=4,"Bulk Order","Normal Order")</f>
        <v>Normal Order</v>
      </c>
    </row>
    <row r="350" spans="1:19" x14ac:dyDescent="0.3">
      <c r="A350" t="s">
        <v>324</v>
      </c>
      <c r="B350" t="s">
        <v>323</v>
      </c>
      <c r="C350" t="s">
        <v>12</v>
      </c>
      <c r="D350">
        <v>46</v>
      </c>
      <c r="E350" t="s">
        <v>8</v>
      </c>
      <c r="F350">
        <v>2</v>
      </c>
      <c r="G350">
        <v>600.16</v>
      </c>
      <c r="H350" t="s">
        <v>7</v>
      </c>
      <c r="I350" s="1">
        <v>44287</v>
      </c>
      <c r="J350" t="s">
        <v>107</v>
      </c>
      <c r="K350">
        <f>F350*G350</f>
        <v>1200.32</v>
      </c>
      <c r="L350" t="str">
        <f>_xlfn.IFS(D350&lt;20,"Below 20",D350&lt;=30,"20-30",D350&lt;=40,"31-40",D350&lt;=50,"41-50",D350&lt;=60,"51-60",TRUE,"60+")</f>
        <v>41-50</v>
      </c>
      <c r="M350" t="str">
        <f>_xlfn.IFS(K350&lt;500,"Low Spend",K350&lt;=2000,"Medium Spend",K350&lt;=5000,"High Spend",TRUE,"Premium Spend")</f>
        <v>Medium Spend</v>
      </c>
      <c r="N350" t="str">
        <f>_xlfn.IFS(F350=1,"1 Item",F350&lt;=3,"2-3 Items",F350&lt;=5,"4-5 Items",TRUE,"6+ Items")</f>
        <v>2-3 Items</v>
      </c>
      <c r="O350" t="str">
        <f>TEXT(I350,"mmm")</f>
        <v>Apr</v>
      </c>
      <c r="P350">
        <f>MONTH(I350)</f>
        <v>4</v>
      </c>
      <c r="Q350">
        <f>YEAR(I350)</f>
        <v>2021</v>
      </c>
      <c r="R350" t="str">
        <f>IF(K350&gt;=5000,"High Value","Regular")</f>
        <v>Regular</v>
      </c>
      <c r="S350" t="str">
        <f>IF(F350&gt;=4,"Bulk Order","Normal Order")</f>
        <v>Normal Order</v>
      </c>
    </row>
    <row r="351" spans="1:19" x14ac:dyDescent="0.3">
      <c r="A351" t="s">
        <v>322</v>
      </c>
      <c r="B351" t="s">
        <v>321</v>
      </c>
      <c r="C351" t="s">
        <v>12</v>
      </c>
      <c r="D351">
        <v>54</v>
      </c>
      <c r="E351" t="s">
        <v>31</v>
      </c>
      <c r="F351">
        <v>4</v>
      </c>
      <c r="G351">
        <v>2400.6799999999998</v>
      </c>
      <c r="H351" t="s">
        <v>15</v>
      </c>
      <c r="I351" s="1">
        <v>44605</v>
      </c>
      <c r="J351" t="s">
        <v>28</v>
      </c>
      <c r="K351">
        <f>F351*G351</f>
        <v>9602.7199999999993</v>
      </c>
      <c r="L351" t="str">
        <f>_xlfn.IFS(D351&lt;20,"Below 20",D351&lt;=30,"20-30",D351&lt;=40,"31-40",D351&lt;=50,"41-50",D351&lt;=60,"51-60",TRUE,"60+")</f>
        <v>51-60</v>
      </c>
      <c r="M351" t="str">
        <f>_xlfn.IFS(K351&lt;500,"Low Spend",K351&lt;=2000,"Medium Spend",K351&lt;=5000,"High Spend",TRUE,"Premium Spend")</f>
        <v>Premium Spend</v>
      </c>
      <c r="N351" t="str">
        <f>_xlfn.IFS(F351=1,"1 Item",F351&lt;=3,"2-3 Items",F351&lt;=5,"4-5 Items",TRUE,"6+ Items")</f>
        <v>4-5 Items</v>
      </c>
      <c r="O351" t="str">
        <f>TEXT(I351,"mmm")</f>
        <v>Feb</v>
      </c>
      <c r="P351">
        <f>MONTH(I351)</f>
        <v>2</v>
      </c>
      <c r="Q351">
        <f>YEAR(I351)</f>
        <v>2022</v>
      </c>
      <c r="R351" t="str">
        <f>IF(K351&gt;=5000,"High Value","Regular")</f>
        <v>High Value</v>
      </c>
      <c r="S351" t="str">
        <f>IF(F351&gt;=4,"Bulk Order","Normal Order")</f>
        <v>Bulk Order</v>
      </c>
    </row>
    <row r="352" spans="1:19" x14ac:dyDescent="0.3">
      <c r="A352" t="s">
        <v>320</v>
      </c>
      <c r="B352" t="s">
        <v>319</v>
      </c>
      <c r="C352" t="s">
        <v>12</v>
      </c>
      <c r="D352">
        <v>62</v>
      </c>
      <c r="E352" t="s">
        <v>61</v>
      </c>
      <c r="F352">
        <v>5</v>
      </c>
      <c r="G352">
        <v>75.75</v>
      </c>
      <c r="H352" t="s">
        <v>15</v>
      </c>
      <c r="I352" s="1">
        <v>44727</v>
      </c>
      <c r="J352" t="s">
        <v>6</v>
      </c>
      <c r="K352">
        <f>F352*G352</f>
        <v>378.75</v>
      </c>
      <c r="L352" t="str">
        <f>_xlfn.IFS(D352&lt;20,"Below 20",D352&lt;=30,"20-30",D352&lt;=40,"31-40",D352&lt;=50,"41-50",D352&lt;=60,"51-60",TRUE,"60+")</f>
        <v>60+</v>
      </c>
      <c r="M352" t="str">
        <f>_xlfn.IFS(K352&lt;500,"Low Spend",K352&lt;=2000,"Medium Spend",K352&lt;=5000,"High Spend",TRUE,"Premium Spend")</f>
        <v>Low Spend</v>
      </c>
      <c r="N352" t="str">
        <f>_xlfn.IFS(F352=1,"1 Item",F352&lt;=3,"2-3 Items",F352&lt;=5,"4-5 Items",TRUE,"6+ Items")</f>
        <v>4-5 Items</v>
      </c>
      <c r="O352" t="str">
        <f>TEXT(I352,"mmm")</f>
        <v>Jun</v>
      </c>
      <c r="P352">
        <f>MONTH(I352)</f>
        <v>6</v>
      </c>
      <c r="Q352">
        <f>YEAR(I352)</f>
        <v>2022</v>
      </c>
      <c r="R352" t="str">
        <f>IF(K352&gt;=5000,"High Value","Regular")</f>
        <v>Regular</v>
      </c>
      <c r="S352" t="str">
        <f>IF(F352&gt;=4,"Bulk Order","Normal Order")</f>
        <v>Bulk Order</v>
      </c>
    </row>
    <row r="353" spans="1:19" x14ac:dyDescent="0.3">
      <c r="A353" t="s">
        <v>318</v>
      </c>
      <c r="B353" t="s">
        <v>317</v>
      </c>
      <c r="C353" t="s">
        <v>3</v>
      </c>
      <c r="D353">
        <v>64</v>
      </c>
      <c r="E353" t="s">
        <v>2</v>
      </c>
      <c r="F353">
        <v>3</v>
      </c>
      <c r="G353">
        <v>107.52</v>
      </c>
      <c r="H353" t="s">
        <v>1</v>
      </c>
      <c r="I353" s="1">
        <v>44761</v>
      </c>
      <c r="J353" t="s">
        <v>22</v>
      </c>
      <c r="K353">
        <f>F353*G353</f>
        <v>322.56</v>
      </c>
      <c r="L353" t="str">
        <f>_xlfn.IFS(D353&lt;20,"Below 20",D353&lt;=30,"20-30",D353&lt;=40,"31-40",D353&lt;=50,"41-50",D353&lt;=60,"51-60",TRUE,"60+")</f>
        <v>60+</v>
      </c>
      <c r="M353" t="str">
        <f>_xlfn.IFS(K353&lt;500,"Low Spend",K353&lt;=2000,"Medium Spend",K353&lt;=5000,"High Spend",TRUE,"Premium Spend")</f>
        <v>Low Spend</v>
      </c>
      <c r="N353" t="str">
        <f>_xlfn.IFS(F353=1,"1 Item",F353&lt;=3,"2-3 Items",F353&lt;=5,"4-5 Items",TRUE,"6+ Items")</f>
        <v>2-3 Items</v>
      </c>
      <c r="O353" t="str">
        <f>TEXT(I353,"mmm")</f>
        <v>Jul</v>
      </c>
      <c r="P353">
        <f>MONTH(I353)</f>
        <v>7</v>
      </c>
      <c r="Q353">
        <f>YEAR(I353)</f>
        <v>2022</v>
      </c>
      <c r="R353" t="str">
        <f>IF(K353&gt;=5000,"High Value","Regular")</f>
        <v>Regular</v>
      </c>
      <c r="S353" t="str">
        <f>IF(F353&gt;=4,"Bulk Order","Normal Order")</f>
        <v>Normal Order</v>
      </c>
    </row>
    <row r="354" spans="1:19" x14ac:dyDescent="0.3">
      <c r="A354" t="s">
        <v>316</v>
      </c>
      <c r="B354" t="s">
        <v>315</v>
      </c>
      <c r="C354" t="s">
        <v>12</v>
      </c>
      <c r="D354">
        <v>55</v>
      </c>
      <c r="E354" t="s">
        <v>16</v>
      </c>
      <c r="F354">
        <v>3</v>
      </c>
      <c r="G354">
        <v>15.69</v>
      </c>
      <c r="H354" t="s">
        <v>15</v>
      </c>
      <c r="I354" s="1">
        <v>44743</v>
      </c>
      <c r="J354" t="s">
        <v>11</v>
      </c>
      <c r="K354">
        <f>F354*G354</f>
        <v>47.07</v>
      </c>
      <c r="L354" t="str">
        <f>_xlfn.IFS(D354&lt;20,"Below 20",D354&lt;=30,"20-30",D354&lt;=40,"31-40",D354&lt;=50,"41-50",D354&lt;=60,"51-60",TRUE,"60+")</f>
        <v>51-60</v>
      </c>
      <c r="M354" t="str">
        <f>_xlfn.IFS(K354&lt;500,"Low Spend",K354&lt;=2000,"Medium Spend",K354&lt;=5000,"High Spend",TRUE,"Premium Spend")</f>
        <v>Low Spend</v>
      </c>
      <c r="N354" t="str">
        <f>_xlfn.IFS(F354=1,"1 Item",F354&lt;=3,"2-3 Items",F354&lt;=5,"4-5 Items",TRUE,"6+ Items")</f>
        <v>2-3 Items</v>
      </c>
      <c r="O354" t="str">
        <f>TEXT(I354,"mmm")</f>
        <v>Jul</v>
      </c>
      <c r="P354">
        <f>MONTH(I354)</f>
        <v>7</v>
      </c>
      <c r="Q354">
        <f>YEAR(I354)</f>
        <v>2022</v>
      </c>
      <c r="R354" t="str">
        <f>IF(K354&gt;=5000,"High Value","Regular")</f>
        <v>Regular</v>
      </c>
      <c r="S354" t="str">
        <f>IF(F354&gt;=4,"Bulk Order","Normal Order")</f>
        <v>Normal Order</v>
      </c>
    </row>
    <row r="355" spans="1:19" x14ac:dyDescent="0.3">
      <c r="A355" t="s">
        <v>314</v>
      </c>
      <c r="B355" t="s">
        <v>313</v>
      </c>
      <c r="C355" t="s">
        <v>3</v>
      </c>
      <c r="D355">
        <v>20</v>
      </c>
      <c r="E355" t="s">
        <v>8</v>
      </c>
      <c r="F355">
        <v>1</v>
      </c>
      <c r="G355">
        <v>300.08</v>
      </c>
      <c r="H355" t="s">
        <v>1</v>
      </c>
      <c r="I355" s="1">
        <v>44366</v>
      </c>
      <c r="J355" t="s">
        <v>102</v>
      </c>
      <c r="K355">
        <f>F355*G355</f>
        <v>300.08</v>
      </c>
      <c r="L355" t="str">
        <f>_xlfn.IFS(D355&lt;20,"Below 20",D355&lt;=30,"20-30",D355&lt;=40,"31-40",D355&lt;=50,"41-50",D355&lt;=60,"51-60",TRUE,"60+")</f>
        <v>20-30</v>
      </c>
      <c r="M355" t="str">
        <f>_xlfn.IFS(K355&lt;500,"Low Spend",K355&lt;=2000,"Medium Spend",K355&lt;=5000,"High Spend",TRUE,"Premium Spend")</f>
        <v>Low Spend</v>
      </c>
      <c r="N355" t="str">
        <f>_xlfn.IFS(F355=1,"1 Item",F355&lt;=3,"2-3 Items",F355&lt;=5,"4-5 Items",TRUE,"6+ Items")</f>
        <v>1 Item</v>
      </c>
      <c r="O355" t="str">
        <f>TEXT(I355,"mmm")</f>
        <v>Jun</v>
      </c>
      <c r="P355">
        <f>MONTH(I355)</f>
        <v>6</v>
      </c>
      <c r="Q355">
        <f>YEAR(I355)</f>
        <v>2021</v>
      </c>
      <c r="R355" t="str">
        <f>IF(K355&gt;=5000,"High Value","Regular")</f>
        <v>Regular</v>
      </c>
      <c r="S355" t="str">
        <f>IF(F355&gt;=4,"Bulk Order","Normal Order")</f>
        <v>Normal Order</v>
      </c>
    </row>
    <row r="356" spans="1:19" x14ac:dyDescent="0.3">
      <c r="A356" t="s">
        <v>312</v>
      </c>
      <c r="B356" t="s">
        <v>311</v>
      </c>
      <c r="C356" t="s">
        <v>12</v>
      </c>
      <c r="D356">
        <v>41</v>
      </c>
      <c r="E356" t="s">
        <v>2</v>
      </c>
      <c r="F356">
        <v>5</v>
      </c>
      <c r="G356">
        <v>179.2</v>
      </c>
      <c r="H356" t="s">
        <v>1</v>
      </c>
      <c r="I356" s="1">
        <v>44572</v>
      </c>
      <c r="J356" t="s">
        <v>0</v>
      </c>
      <c r="K356">
        <f>F356*G356</f>
        <v>896</v>
      </c>
      <c r="L356" t="str">
        <f>_xlfn.IFS(D356&lt;20,"Below 20",D356&lt;=30,"20-30",D356&lt;=40,"31-40",D356&lt;=50,"41-50",D356&lt;=60,"51-60",TRUE,"60+")</f>
        <v>41-50</v>
      </c>
      <c r="M356" t="str">
        <f>_xlfn.IFS(K356&lt;500,"Low Spend",K356&lt;=2000,"Medium Spend",K356&lt;=5000,"High Spend",TRUE,"Premium Spend")</f>
        <v>Medium Spend</v>
      </c>
      <c r="N356" t="str">
        <f>_xlfn.IFS(F356=1,"1 Item",F356&lt;=3,"2-3 Items",F356&lt;=5,"4-5 Items",TRUE,"6+ Items")</f>
        <v>4-5 Items</v>
      </c>
      <c r="O356" t="str">
        <f>TEXT(I356,"mmm")</f>
        <v>Jan</v>
      </c>
      <c r="P356">
        <f>MONTH(I356)</f>
        <v>1</v>
      </c>
      <c r="Q356">
        <f>YEAR(I356)</f>
        <v>2022</v>
      </c>
      <c r="R356" t="str">
        <f>IF(K356&gt;=5000,"High Value","Regular")</f>
        <v>Regular</v>
      </c>
      <c r="S356" t="str">
        <f>IF(F356&gt;=4,"Bulk Order","Normal Order")</f>
        <v>Bulk Order</v>
      </c>
    </row>
    <row r="357" spans="1:19" x14ac:dyDescent="0.3">
      <c r="A357" t="s">
        <v>310</v>
      </c>
      <c r="B357" t="s">
        <v>309</v>
      </c>
      <c r="C357" t="s">
        <v>12</v>
      </c>
      <c r="D357">
        <v>54</v>
      </c>
      <c r="E357" t="s">
        <v>16</v>
      </c>
      <c r="F357">
        <v>5</v>
      </c>
      <c r="G357">
        <v>26.15</v>
      </c>
      <c r="H357" t="s">
        <v>1</v>
      </c>
      <c r="I357" s="1">
        <v>44900</v>
      </c>
      <c r="J357" t="s">
        <v>0</v>
      </c>
      <c r="K357">
        <f>F357*G357</f>
        <v>130.75</v>
      </c>
      <c r="L357" t="str">
        <f>_xlfn.IFS(D357&lt;20,"Below 20",D357&lt;=30,"20-30",D357&lt;=40,"31-40",D357&lt;=50,"41-50",D357&lt;=60,"51-60",TRUE,"60+")</f>
        <v>51-60</v>
      </c>
      <c r="M357" t="str">
        <f>_xlfn.IFS(K357&lt;500,"Low Spend",K357&lt;=2000,"Medium Spend",K357&lt;=5000,"High Spend",TRUE,"Premium Spend")</f>
        <v>Low Spend</v>
      </c>
      <c r="N357" t="str">
        <f>_xlfn.IFS(F357=1,"1 Item",F357&lt;=3,"2-3 Items",F357&lt;=5,"4-5 Items",TRUE,"6+ Items")</f>
        <v>4-5 Items</v>
      </c>
      <c r="O357" t="str">
        <f>TEXT(I357,"mmm")</f>
        <v>Dec</v>
      </c>
      <c r="P357">
        <f>MONTH(I357)</f>
        <v>12</v>
      </c>
      <c r="Q357">
        <f>YEAR(I357)</f>
        <v>2022</v>
      </c>
      <c r="R357" t="str">
        <f>IF(K357&gt;=5000,"High Value","Regular")</f>
        <v>Regular</v>
      </c>
      <c r="S357" t="str">
        <f>IF(F357&gt;=4,"Bulk Order","Normal Order")</f>
        <v>Bulk Order</v>
      </c>
    </row>
    <row r="358" spans="1:19" x14ac:dyDescent="0.3">
      <c r="A358" t="s">
        <v>308</v>
      </c>
      <c r="B358" t="s">
        <v>307</v>
      </c>
      <c r="C358" t="s">
        <v>12</v>
      </c>
      <c r="D358">
        <v>34</v>
      </c>
      <c r="E358" t="s">
        <v>8</v>
      </c>
      <c r="F358">
        <v>1</v>
      </c>
      <c r="G358">
        <v>300.08</v>
      </c>
      <c r="H358" t="s">
        <v>15</v>
      </c>
      <c r="I358" s="1">
        <v>44307</v>
      </c>
      <c r="J358" t="s">
        <v>68</v>
      </c>
      <c r="K358">
        <f>F358*G358</f>
        <v>300.08</v>
      </c>
      <c r="L358" t="str">
        <f>_xlfn.IFS(D358&lt;20,"Below 20",D358&lt;=30,"20-30",D358&lt;=40,"31-40",D358&lt;=50,"41-50",D358&lt;=60,"51-60",TRUE,"60+")</f>
        <v>31-40</v>
      </c>
      <c r="M358" t="str">
        <f>_xlfn.IFS(K358&lt;500,"Low Spend",K358&lt;=2000,"Medium Spend",K358&lt;=5000,"High Spend",TRUE,"Premium Spend")</f>
        <v>Low Spend</v>
      </c>
      <c r="N358" t="str">
        <f>_xlfn.IFS(F358=1,"1 Item",F358&lt;=3,"2-3 Items",F358&lt;=5,"4-5 Items",TRUE,"6+ Items")</f>
        <v>1 Item</v>
      </c>
      <c r="O358" t="str">
        <f>TEXT(I358,"mmm")</f>
        <v>Apr</v>
      </c>
      <c r="P358">
        <f>MONTH(I358)</f>
        <v>4</v>
      </c>
      <c r="Q358">
        <f>YEAR(I358)</f>
        <v>2021</v>
      </c>
      <c r="R358" t="str">
        <f>IF(K358&gt;=5000,"High Value","Regular")</f>
        <v>Regular</v>
      </c>
      <c r="S358" t="str">
        <f>IF(F358&gt;=4,"Bulk Order","Normal Order")</f>
        <v>Normal Order</v>
      </c>
    </row>
    <row r="359" spans="1:19" x14ac:dyDescent="0.3">
      <c r="A359" t="s">
        <v>306</v>
      </c>
      <c r="B359" t="s">
        <v>305</v>
      </c>
      <c r="C359" t="s">
        <v>3</v>
      </c>
      <c r="D359">
        <v>31</v>
      </c>
      <c r="E359" t="s">
        <v>8</v>
      </c>
      <c r="F359">
        <v>1</v>
      </c>
      <c r="G359">
        <v>300.08</v>
      </c>
      <c r="H359" t="s">
        <v>15</v>
      </c>
      <c r="I359" s="1">
        <v>44510</v>
      </c>
      <c r="J359" t="s">
        <v>68</v>
      </c>
      <c r="K359">
        <f>F359*G359</f>
        <v>300.08</v>
      </c>
      <c r="L359" t="str">
        <f>_xlfn.IFS(D359&lt;20,"Below 20",D359&lt;=30,"20-30",D359&lt;=40,"31-40",D359&lt;=50,"41-50",D359&lt;=60,"51-60",TRUE,"60+")</f>
        <v>31-40</v>
      </c>
      <c r="M359" t="str">
        <f>_xlfn.IFS(K359&lt;500,"Low Spend",K359&lt;=2000,"Medium Spend",K359&lt;=5000,"High Spend",TRUE,"Premium Spend")</f>
        <v>Low Spend</v>
      </c>
      <c r="N359" t="str">
        <f>_xlfn.IFS(F359=1,"1 Item",F359&lt;=3,"2-3 Items",F359&lt;=5,"4-5 Items",TRUE,"6+ Items")</f>
        <v>1 Item</v>
      </c>
      <c r="O359" t="str">
        <f>TEXT(I359,"mmm")</f>
        <v>Nov</v>
      </c>
      <c r="P359">
        <f>MONTH(I359)</f>
        <v>11</v>
      </c>
      <c r="Q359">
        <f>YEAR(I359)</f>
        <v>2021</v>
      </c>
      <c r="R359" t="str">
        <f>IF(K359&gt;=5000,"High Value","Regular")</f>
        <v>Regular</v>
      </c>
      <c r="S359" t="str">
        <f>IF(F359&gt;=4,"Bulk Order","Normal Order")</f>
        <v>Normal Order</v>
      </c>
    </row>
    <row r="360" spans="1:19" x14ac:dyDescent="0.3">
      <c r="A360" t="s">
        <v>304</v>
      </c>
      <c r="B360" t="s">
        <v>303</v>
      </c>
      <c r="C360" t="s">
        <v>12</v>
      </c>
      <c r="D360">
        <v>48</v>
      </c>
      <c r="E360" t="s">
        <v>2</v>
      </c>
      <c r="F360">
        <v>4</v>
      </c>
      <c r="G360">
        <v>143.36000000000001</v>
      </c>
      <c r="H360" t="s">
        <v>15</v>
      </c>
      <c r="I360" s="1">
        <v>44823</v>
      </c>
      <c r="J360" t="s">
        <v>11</v>
      </c>
      <c r="K360">
        <f>F360*G360</f>
        <v>573.44000000000005</v>
      </c>
      <c r="L360" t="str">
        <f>_xlfn.IFS(D360&lt;20,"Below 20",D360&lt;=30,"20-30",D360&lt;=40,"31-40",D360&lt;=50,"41-50",D360&lt;=60,"51-60",TRUE,"60+")</f>
        <v>41-50</v>
      </c>
      <c r="M360" t="str">
        <f>_xlfn.IFS(K360&lt;500,"Low Spend",K360&lt;=2000,"Medium Spend",K360&lt;=5000,"High Spend",TRUE,"Premium Spend")</f>
        <v>Medium Spend</v>
      </c>
      <c r="N360" t="str">
        <f>_xlfn.IFS(F360=1,"1 Item",F360&lt;=3,"2-3 Items",F360&lt;=5,"4-5 Items",TRUE,"6+ Items")</f>
        <v>4-5 Items</v>
      </c>
      <c r="O360" t="str">
        <f>TEXT(I360,"mmm")</f>
        <v>Sep</v>
      </c>
      <c r="P360">
        <f>MONTH(I360)</f>
        <v>9</v>
      </c>
      <c r="Q360">
        <f>YEAR(I360)</f>
        <v>2022</v>
      </c>
      <c r="R360" t="str">
        <f>IF(K360&gt;=5000,"High Value","Regular")</f>
        <v>Regular</v>
      </c>
      <c r="S360" t="str">
        <f>IF(F360&gt;=4,"Bulk Order","Normal Order")</f>
        <v>Bulk Order</v>
      </c>
    </row>
    <row r="361" spans="1:19" x14ac:dyDescent="0.3">
      <c r="A361" t="s">
        <v>302</v>
      </c>
      <c r="B361" t="s">
        <v>301</v>
      </c>
      <c r="C361" t="s">
        <v>3</v>
      </c>
      <c r="D361">
        <v>44</v>
      </c>
      <c r="E361" t="s">
        <v>8</v>
      </c>
      <c r="F361">
        <v>2</v>
      </c>
      <c r="G361">
        <v>600.16</v>
      </c>
      <c r="H361" t="s">
        <v>7</v>
      </c>
      <c r="I361" s="1">
        <v>44214</v>
      </c>
      <c r="J361" t="s">
        <v>38</v>
      </c>
      <c r="K361">
        <f>F361*G361</f>
        <v>1200.32</v>
      </c>
      <c r="L361" t="str">
        <f>_xlfn.IFS(D361&lt;20,"Below 20",D361&lt;=30,"20-30",D361&lt;=40,"31-40",D361&lt;=50,"41-50",D361&lt;=60,"51-60",TRUE,"60+")</f>
        <v>41-50</v>
      </c>
      <c r="M361" t="str">
        <f>_xlfn.IFS(K361&lt;500,"Low Spend",K361&lt;=2000,"Medium Spend",K361&lt;=5000,"High Spend",TRUE,"Premium Spend")</f>
        <v>Medium Spend</v>
      </c>
      <c r="N361" t="str">
        <f>_xlfn.IFS(F361=1,"1 Item",F361&lt;=3,"2-3 Items",F361&lt;=5,"4-5 Items",TRUE,"6+ Items")</f>
        <v>2-3 Items</v>
      </c>
      <c r="O361" t="str">
        <f>TEXT(I361,"mmm")</f>
        <v>Jan</v>
      </c>
      <c r="P361">
        <f>MONTH(I361)</f>
        <v>1</v>
      </c>
      <c r="Q361">
        <f>YEAR(I361)</f>
        <v>2021</v>
      </c>
      <c r="R361" t="str">
        <f>IF(K361&gt;=5000,"High Value","Regular")</f>
        <v>Regular</v>
      </c>
      <c r="S361" t="str">
        <f>IF(F361&gt;=4,"Bulk Order","Normal Order")</f>
        <v>Normal Order</v>
      </c>
    </row>
    <row r="362" spans="1:19" x14ac:dyDescent="0.3">
      <c r="A362" t="s">
        <v>300</v>
      </c>
      <c r="B362" t="s">
        <v>299</v>
      </c>
      <c r="C362" t="s">
        <v>3</v>
      </c>
      <c r="D362">
        <v>42</v>
      </c>
      <c r="E362" t="s">
        <v>31</v>
      </c>
      <c r="F362">
        <v>1</v>
      </c>
      <c r="G362">
        <v>600.16999999999996</v>
      </c>
      <c r="H362" t="s">
        <v>1</v>
      </c>
      <c r="I362" s="1">
        <v>44672</v>
      </c>
      <c r="J362" t="s">
        <v>28</v>
      </c>
      <c r="K362">
        <f>F362*G362</f>
        <v>600.16999999999996</v>
      </c>
      <c r="L362" t="str">
        <f>_xlfn.IFS(D362&lt;20,"Below 20",D362&lt;=30,"20-30",D362&lt;=40,"31-40",D362&lt;=50,"41-50",D362&lt;=60,"51-60",TRUE,"60+")</f>
        <v>41-50</v>
      </c>
      <c r="M362" t="str">
        <f>_xlfn.IFS(K362&lt;500,"Low Spend",K362&lt;=2000,"Medium Spend",K362&lt;=5000,"High Spend",TRUE,"Premium Spend")</f>
        <v>Medium Spend</v>
      </c>
      <c r="N362" t="str">
        <f>_xlfn.IFS(F362=1,"1 Item",F362&lt;=3,"2-3 Items",F362&lt;=5,"4-5 Items",TRUE,"6+ Items")</f>
        <v>1 Item</v>
      </c>
      <c r="O362" t="str">
        <f>TEXT(I362,"mmm")</f>
        <v>Apr</v>
      </c>
      <c r="P362">
        <f>MONTH(I362)</f>
        <v>4</v>
      </c>
      <c r="Q362">
        <f>YEAR(I362)</f>
        <v>2022</v>
      </c>
      <c r="R362" t="str">
        <f>IF(K362&gt;=5000,"High Value","Regular")</f>
        <v>Regular</v>
      </c>
      <c r="S362" t="str">
        <f>IF(F362&gt;=4,"Bulk Order","Normal Order")</f>
        <v>Normal Order</v>
      </c>
    </row>
    <row r="363" spans="1:19" x14ac:dyDescent="0.3">
      <c r="A363" t="s">
        <v>298</v>
      </c>
      <c r="B363" t="s">
        <v>297</v>
      </c>
      <c r="C363" t="s">
        <v>12</v>
      </c>
      <c r="D363">
        <v>25</v>
      </c>
      <c r="E363" t="s">
        <v>31</v>
      </c>
      <c r="F363">
        <v>1</v>
      </c>
      <c r="G363">
        <v>600.16999999999996</v>
      </c>
      <c r="H363" t="s">
        <v>1</v>
      </c>
      <c r="I363" s="1">
        <v>44890</v>
      </c>
      <c r="J363" t="s">
        <v>22</v>
      </c>
      <c r="K363">
        <f>F363*G363</f>
        <v>600.16999999999996</v>
      </c>
      <c r="L363" t="str">
        <f>_xlfn.IFS(D363&lt;20,"Below 20",D363&lt;=30,"20-30",D363&lt;=40,"31-40",D363&lt;=50,"41-50",D363&lt;=60,"51-60",TRUE,"60+")</f>
        <v>20-30</v>
      </c>
      <c r="M363" t="str">
        <f>_xlfn.IFS(K363&lt;500,"Low Spend",K363&lt;=2000,"Medium Spend",K363&lt;=5000,"High Spend",TRUE,"Premium Spend")</f>
        <v>Medium Spend</v>
      </c>
      <c r="N363" t="str">
        <f>_xlfn.IFS(F363=1,"1 Item",F363&lt;=3,"2-3 Items",F363&lt;=5,"4-5 Items",TRUE,"6+ Items")</f>
        <v>1 Item</v>
      </c>
      <c r="O363" t="str">
        <f>TEXT(I363,"mmm")</f>
        <v>Nov</v>
      </c>
      <c r="P363">
        <f>MONTH(I363)</f>
        <v>11</v>
      </c>
      <c r="Q363">
        <f>YEAR(I363)</f>
        <v>2022</v>
      </c>
      <c r="R363" t="str">
        <f>IF(K363&gt;=5000,"High Value","Regular")</f>
        <v>Regular</v>
      </c>
      <c r="S363" t="str">
        <f>IF(F363&gt;=4,"Bulk Order","Normal Order")</f>
        <v>Normal Order</v>
      </c>
    </row>
    <row r="364" spans="1:19" x14ac:dyDescent="0.3">
      <c r="A364" t="s">
        <v>296</v>
      </c>
      <c r="B364" t="s">
        <v>295</v>
      </c>
      <c r="C364" t="s">
        <v>12</v>
      </c>
      <c r="D364">
        <v>64</v>
      </c>
      <c r="E364" t="s">
        <v>8</v>
      </c>
      <c r="F364">
        <v>5</v>
      </c>
      <c r="G364">
        <v>1500.4</v>
      </c>
      <c r="H364" t="s">
        <v>15</v>
      </c>
      <c r="I364" s="1">
        <v>44874</v>
      </c>
      <c r="J364" t="s">
        <v>28</v>
      </c>
      <c r="K364">
        <f>F364*G364</f>
        <v>7502</v>
      </c>
      <c r="L364" t="str">
        <f>_xlfn.IFS(D364&lt;20,"Below 20",D364&lt;=30,"20-30",D364&lt;=40,"31-40",D364&lt;=50,"41-50",D364&lt;=60,"51-60",TRUE,"60+")</f>
        <v>60+</v>
      </c>
      <c r="M364" t="str">
        <f>_xlfn.IFS(K364&lt;500,"Low Spend",K364&lt;=2000,"Medium Spend",K364&lt;=5000,"High Spend",TRUE,"Premium Spend")</f>
        <v>Premium Spend</v>
      </c>
      <c r="N364" t="str">
        <f>_xlfn.IFS(F364=1,"1 Item",F364&lt;=3,"2-3 Items",F364&lt;=5,"4-5 Items",TRUE,"6+ Items")</f>
        <v>4-5 Items</v>
      </c>
      <c r="O364" t="str">
        <f>TEXT(I364,"mmm")</f>
        <v>Nov</v>
      </c>
      <c r="P364">
        <f>MONTH(I364)</f>
        <v>11</v>
      </c>
      <c r="Q364">
        <f>YEAR(I364)</f>
        <v>2022</v>
      </c>
      <c r="R364" t="str">
        <f>IF(K364&gt;=5000,"High Value","Regular")</f>
        <v>High Value</v>
      </c>
      <c r="S364" t="str">
        <f>IF(F364&gt;=4,"Bulk Order","Normal Order")</f>
        <v>Bulk Order</v>
      </c>
    </row>
    <row r="365" spans="1:19" x14ac:dyDescent="0.3">
      <c r="A365" t="s">
        <v>294</v>
      </c>
      <c r="B365" t="s">
        <v>293</v>
      </c>
      <c r="C365" t="s">
        <v>3</v>
      </c>
      <c r="D365">
        <v>67</v>
      </c>
      <c r="E365" t="s">
        <v>112</v>
      </c>
      <c r="F365">
        <v>5</v>
      </c>
      <c r="G365">
        <v>5250</v>
      </c>
      <c r="H365" t="s">
        <v>15</v>
      </c>
      <c r="I365" s="1">
        <v>44564</v>
      </c>
      <c r="J365" t="s">
        <v>28</v>
      </c>
      <c r="K365">
        <f>F365*G365</f>
        <v>26250</v>
      </c>
      <c r="L365" t="str">
        <f>_xlfn.IFS(D365&lt;20,"Below 20",D365&lt;=30,"20-30",D365&lt;=40,"31-40",D365&lt;=50,"41-50",D365&lt;=60,"51-60",TRUE,"60+")</f>
        <v>60+</v>
      </c>
      <c r="M365" t="str">
        <f>_xlfn.IFS(K365&lt;500,"Low Spend",K365&lt;=2000,"Medium Spend",K365&lt;=5000,"High Spend",TRUE,"Premium Spend")</f>
        <v>Premium Spend</v>
      </c>
      <c r="N365" t="str">
        <f>_xlfn.IFS(F365=1,"1 Item",F365&lt;=3,"2-3 Items",F365&lt;=5,"4-5 Items",TRUE,"6+ Items")</f>
        <v>4-5 Items</v>
      </c>
      <c r="O365" t="str">
        <f>TEXT(I365,"mmm")</f>
        <v>Jan</v>
      </c>
      <c r="P365">
        <f>MONTH(I365)</f>
        <v>1</v>
      </c>
      <c r="Q365">
        <f>YEAR(I365)</f>
        <v>2022</v>
      </c>
      <c r="R365" t="str">
        <f>IF(K365&gt;=5000,"High Value","Regular")</f>
        <v>High Value</v>
      </c>
      <c r="S365" t="str">
        <f>IF(F365&gt;=4,"Bulk Order","Normal Order")</f>
        <v>Bulk Order</v>
      </c>
    </row>
    <row r="366" spans="1:19" x14ac:dyDescent="0.3">
      <c r="A366" t="s">
        <v>292</v>
      </c>
      <c r="B366" t="s">
        <v>291</v>
      </c>
      <c r="C366" t="s">
        <v>3</v>
      </c>
      <c r="D366">
        <v>55</v>
      </c>
      <c r="E366" t="s">
        <v>8</v>
      </c>
      <c r="F366">
        <v>2</v>
      </c>
      <c r="G366">
        <v>600.16</v>
      </c>
      <c r="H366" t="s">
        <v>15</v>
      </c>
      <c r="I366" s="1">
        <v>44611</v>
      </c>
      <c r="J366" t="s">
        <v>107</v>
      </c>
      <c r="K366">
        <f>F366*G366</f>
        <v>1200.32</v>
      </c>
      <c r="L366" t="str">
        <f>_xlfn.IFS(D366&lt;20,"Below 20",D366&lt;=30,"20-30",D366&lt;=40,"31-40",D366&lt;=50,"41-50",D366&lt;=60,"51-60",TRUE,"60+")</f>
        <v>51-60</v>
      </c>
      <c r="M366" t="str">
        <f>_xlfn.IFS(K366&lt;500,"Low Spend",K366&lt;=2000,"Medium Spend",K366&lt;=5000,"High Spend",TRUE,"Premium Spend")</f>
        <v>Medium Spend</v>
      </c>
      <c r="N366" t="str">
        <f>_xlfn.IFS(F366=1,"1 Item",F366&lt;=3,"2-3 Items",F366&lt;=5,"4-5 Items",TRUE,"6+ Items")</f>
        <v>2-3 Items</v>
      </c>
      <c r="O366" t="str">
        <f>TEXT(I366,"mmm")</f>
        <v>Feb</v>
      </c>
      <c r="P366">
        <f>MONTH(I366)</f>
        <v>2</v>
      </c>
      <c r="Q366">
        <f>YEAR(I366)</f>
        <v>2022</v>
      </c>
      <c r="R366" t="str">
        <f>IF(K366&gt;=5000,"High Value","Regular")</f>
        <v>Regular</v>
      </c>
      <c r="S366" t="str">
        <f>IF(F366&gt;=4,"Bulk Order","Normal Order")</f>
        <v>Normal Order</v>
      </c>
    </row>
    <row r="367" spans="1:19" x14ac:dyDescent="0.3">
      <c r="A367" t="s">
        <v>290</v>
      </c>
      <c r="B367" t="s">
        <v>289</v>
      </c>
      <c r="C367" t="s">
        <v>3</v>
      </c>
      <c r="D367">
        <v>62</v>
      </c>
      <c r="E367" t="s">
        <v>31</v>
      </c>
      <c r="F367">
        <v>3</v>
      </c>
      <c r="G367">
        <v>1800.51</v>
      </c>
      <c r="H367" t="s">
        <v>1</v>
      </c>
      <c r="I367" s="1">
        <v>44910</v>
      </c>
      <c r="J367" t="s">
        <v>38</v>
      </c>
      <c r="K367">
        <f>F367*G367</f>
        <v>5401.53</v>
      </c>
      <c r="L367" t="str">
        <f>_xlfn.IFS(D367&lt;20,"Below 20",D367&lt;=30,"20-30",D367&lt;=40,"31-40",D367&lt;=50,"41-50",D367&lt;=60,"51-60",TRUE,"60+")</f>
        <v>60+</v>
      </c>
      <c r="M367" t="str">
        <f>_xlfn.IFS(K367&lt;500,"Low Spend",K367&lt;=2000,"Medium Spend",K367&lt;=5000,"High Spend",TRUE,"Premium Spend")</f>
        <v>Premium Spend</v>
      </c>
      <c r="N367" t="str">
        <f>_xlfn.IFS(F367=1,"1 Item",F367&lt;=3,"2-3 Items",F367&lt;=5,"4-5 Items",TRUE,"6+ Items")</f>
        <v>2-3 Items</v>
      </c>
      <c r="O367" t="str">
        <f>TEXT(I367,"mmm")</f>
        <v>Dec</v>
      </c>
      <c r="P367">
        <f>MONTH(I367)</f>
        <v>12</v>
      </c>
      <c r="Q367">
        <f>YEAR(I367)</f>
        <v>2022</v>
      </c>
      <c r="R367" t="str">
        <f>IF(K367&gt;=5000,"High Value","Regular")</f>
        <v>High Value</v>
      </c>
      <c r="S367" t="str">
        <f>IF(F367&gt;=4,"Bulk Order","Normal Order")</f>
        <v>Normal Order</v>
      </c>
    </row>
    <row r="368" spans="1:19" x14ac:dyDescent="0.3">
      <c r="A368" t="s">
        <v>288</v>
      </c>
      <c r="B368" t="s">
        <v>287</v>
      </c>
      <c r="C368" t="s">
        <v>3</v>
      </c>
      <c r="D368">
        <v>54</v>
      </c>
      <c r="E368" t="s">
        <v>8</v>
      </c>
      <c r="F368">
        <v>2</v>
      </c>
      <c r="G368">
        <v>600.16</v>
      </c>
      <c r="H368" t="s">
        <v>1</v>
      </c>
      <c r="I368" s="1">
        <v>44508</v>
      </c>
      <c r="J368" t="s">
        <v>11</v>
      </c>
      <c r="K368">
        <f>F368*G368</f>
        <v>1200.32</v>
      </c>
      <c r="L368" t="str">
        <f>_xlfn.IFS(D368&lt;20,"Below 20",D368&lt;=30,"20-30",D368&lt;=40,"31-40",D368&lt;=50,"41-50",D368&lt;=60,"51-60",TRUE,"60+")</f>
        <v>51-60</v>
      </c>
      <c r="M368" t="str">
        <f>_xlfn.IFS(K368&lt;500,"Low Spend",K368&lt;=2000,"Medium Spend",K368&lt;=5000,"High Spend",TRUE,"Premium Spend")</f>
        <v>Medium Spend</v>
      </c>
      <c r="N368" t="str">
        <f>_xlfn.IFS(F368=1,"1 Item",F368&lt;=3,"2-3 Items",F368&lt;=5,"4-5 Items",TRUE,"6+ Items")</f>
        <v>2-3 Items</v>
      </c>
      <c r="O368" t="str">
        <f>TEXT(I368,"mmm")</f>
        <v>Nov</v>
      </c>
      <c r="P368">
        <f>MONTH(I368)</f>
        <v>11</v>
      </c>
      <c r="Q368">
        <f>YEAR(I368)</f>
        <v>2021</v>
      </c>
      <c r="R368" t="str">
        <f>IF(K368&gt;=5000,"High Value","Regular")</f>
        <v>Regular</v>
      </c>
      <c r="S368" t="str">
        <f>IF(F368&gt;=4,"Bulk Order","Normal Order")</f>
        <v>Normal Order</v>
      </c>
    </row>
    <row r="369" spans="1:19" x14ac:dyDescent="0.3">
      <c r="A369" t="s">
        <v>286</v>
      </c>
      <c r="B369" t="s">
        <v>285</v>
      </c>
      <c r="C369" t="s">
        <v>3</v>
      </c>
      <c r="D369">
        <v>43</v>
      </c>
      <c r="E369" t="s">
        <v>16</v>
      </c>
      <c r="F369">
        <v>4</v>
      </c>
      <c r="G369">
        <v>20.92</v>
      </c>
      <c r="H369" t="s">
        <v>1</v>
      </c>
      <c r="I369" s="1">
        <v>44682</v>
      </c>
      <c r="J369" t="s">
        <v>28</v>
      </c>
      <c r="K369">
        <f>F369*G369</f>
        <v>83.68</v>
      </c>
      <c r="L369" t="str">
        <f>_xlfn.IFS(D369&lt;20,"Below 20",D369&lt;=30,"20-30",D369&lt;=40,"31-40",D369&lt;=50,"41-50",D369&lt;=60,"51-60",TRUE,"60+")</f>
        <v>41-50</v>
      </c>
      <c r="M369" t="str">
        <f>_xlfn.IFS(K369&lt;500,"Low Spend",K369&lt;=2000,"Medium Spend",K369&lt;=5000,"High Spend",TRUE,"Premium Spend")</f>
        <v>Low Spend</v>
      </c>
      <c r="N369" t="str">
        <f>_xlfn.IFS(F369=1,"1 Item",F369&lt;=3,"2-3 Items",F369&lt;=5,"4-5 Items",TRUE,"6+ Items")</f>
        <v>4-5 Items</v>
      </c>
      <c r="O369" t="str">
        <f>TEXT(I369,"mmm")</f>
        <v>May</v>
      </c>
      <c r="P369">
        <f>MONTH(I369)</f>
        <v>5</v>
      </c>
      <c r="Q369">
        <f>YEAR(I369)</f>
        <v>2022</v>
      </c>
      <c r="R369" t="str">
        <f>IF(K369&gt;=5000,"High Value","Regular")</f>
        <v>Regular</v>
      </c>
      <c r="S369" t="str">
        <f>IF(F369&gt;=4,"Bulk Order","Normal Order")</f>
        <v>Bulk Order</v>
      </c>
    </row>
    <row r="370" spans="1:19" x14ac:dyDescent="0.3">
      <c r="A370" t="s">
        <v>284</v>
      </c>
      <c r="B370" t="s">
        <v>283</v>
      </c>
      <c r="C370" t="s">
        <v>3</v>
      </c>
      <c r="D370">
        <v>30</v>
      </c>
      <c r="E370" t="s">
        <v>8</v>
      </c>
      <c r="F370">
        <v>2</v>
      </c>
      <c r="G370">
        <v>600.16</v>
      </c>
      <c r="H370" t="s">
        <v>15</v>
      </c>
      <c r="I370" s="1">
        <v>44300</v>
      </c>
      <c r="J370" t="s">
        <v>97</v>
      </c>
      <c r="K370">
        <f>F370*G370</f>
        <v>1200.32</v>
      </c>
      <c r="L370" t="str">
        <f>_xlfn.IFS(D370&lt;20,"Below 20",D370&lt;=30,"20-30",D370&lt;=40,"31-40",D370&lt;=50,"41-50",D370&lt;=60,"51-60",TRUE,"60+")</f>
        <v>20-30</v>
      </c>
      <c r="M370" t="str">
        <f>_xlfn.IFS(K370&lt;500,"Low Spend",K370&lt;=2000,"Medium Spend",K370&lt;=5000,"High Spend",TRUE,"Premium Spend")</f>
        <v>Medium Spend</v>
      </c>
      <c r="N370" t="str">
        <f>_xlfn.IFS(F370=1,"1 Item",F370&lt;=3,"2-3 Items",F370&lt;=5,"4-5 Items",TRUE,"6+ Items")</f>
        <v>2-3 Items</v>
      </c>
      <c r="O370" t="str">
        <f>TEXT(I370,"mmm")</f>
        <v>Apr</v>
      </c>
      <c r="P370">
        <f>MONTH(I370)</f>
        <v>4</v>
      </c>
      <c r="Q370">
        <f>YEAR(I370)</f>
        <v>2021</v>
      </c>
      <c r="R370" t="str">
        <f>IF(K370&gt;=5000,"High Value","Regular")</f>
        <v>Regular</v>
      </c>
      <c r="S370" t="str">
        <f>IF(F370&gt;=4,"Bulk Order","Normal Order")</f>
        <v>Normal Order</v>
      </c>
    </row>
    <row r="371" spans="1:19" x14ac:dyDescent="0.3">
      <c r="A371" t="s">
        <v>282</v>
      </c>
      <c r="B371" t="s">
        <v>281</v>
      </c>
      <c r="C371" t="s">
        <v>3</v>
      </c>
      <c r="D371">
        <v>58</v>
      </c>
      <c r="E371" t="s">
        <v>19</v>
      </c>
      <c r="F371">
        <v>5</v>
      </c>
      <c r="G371">
        <v>203.3</v>
      </c>
      <c r="H371" t="s">
        <v>7</v>
      </c>
      <c r="I371" s="1">
        <v>44375</v>
      </c>
      <c r="J371" t="s">
        <v>28</v>
      </c>
      <c r="K371">
        <f>F371*G371</f>
        <v>1016.5</v>
      </c>
      <c r="L371" t="str">
        <f>_xlfn.IFS(D371&lt;20,"Below 20",D371&lt;=30,"20-30",D371&lt;=40,"31-40",D371&lt;=50,"41-50",D371&lt;=60,"51-60",TRUE,"60+")</f>
        <v>51-60</v>
      </c>
      <c r="M371" t="str">
        <f>_xlfn.IFS(K371&lt;500,"Low Spend",K371&lt;=2000,"Medium Spend",K371&lt;=5000,"High Spend",TRUE,"Premium Spend")</f>
        <v>Medium Spend</v>
      </c>
      <c r="N371" t="str">
        <f>_xlfn.IFS(F371=1,"1 Item",F371&lt;=3,"2-3 Items",F371&lt;=5,"4-5 Items",TRUE,"6+ Items")</f>
        <v>4-5 Items</v>
      </c>
      <c r="O371" t="str">
        <f>TEXT(I371,"mmm")</f>
        <v>Jun</v>
      </c>
      <c r="P371">
        <f>MONTH(I371)</f>
        <v>6</v>
      </c>
      <c r="Q371">
        <f>YEAR(I371)</f>
        <v>2021</v>
      </c>
      <c r="R371" t="str">
        <f>IF(K371&gt;=5000,"High Value","Regular")</f>
        <v>Regular</v>
      </c>
      <c r="S371" t="str">
        <f>IF(F371&gt;=4,"Bulk Order","Normal Order")</f>
        <v>Bulk Order</v>
      </c>
    </row>
    <row r="372" spans="1:19" x14ac:dyDescent="0.3">
      <c r="A372" t="s">
        <v>280</v>
      </c>
      <c r="B372" t="s">
        <v>279</v>
      </c>
      <c r="C372" t="s">
        <v>12</v>
      </c>
      <c r="D372">
        <v>49</v>
      </c>
      <c r="E372" t="s">
        <v>31</v>
      </c>
      <c r="F372">
        <v>5</v>
      </c>
      <c r="G372">
        <v>3000.85</v>
      </c>
      <c r="H372" t="s">
        <v>1</v>
      </c>
      <c r="I372" s="1">
        <v>44722</v>
      </c>
      <c r="J372" t="s">
        <v>97</v>
      </c>
      <c r="K372">
        <f>F372*G372</f>
        <v>15004.25</v>
      </c>
      <c r="L372" t="str">
        <f>_xlfn.IFS(D372&lt;20,"Below 20",D372&lt;=30,"20-30",D372&lt;=40,"31-40",D372&lt;=50,"41-50",D372&lt;=60,"51-60",TRUE,"60+")</f>
        <v>41-50</v>
      </c>
      <c r="M372" t="str">
        <f>_xlfn.IFS(K372&lt;500,"Low Spend",K372&lt;=2000,"Medium Spend",K372&lt;=5000,"High Spend",TRUE,"Premium Spend")</f>
        <v>Premium Spend</v>
      </c>
      <c r="N372" t="str">
        <f>_xlfn.IFS(F372=1,"1 Item",F372&lt;=3,"2-3 Items",F372&lt;=5,"4-5 Items",TRUE,"6+ Items")</f>
        <v>4-5 Items</v>
      </c>
      <c r="O372" t="str">
        <f>TEXT(I372,"mmm")</f>
        <v>Jun</v>
      </c>
      <c r="P372">
        <f>MONTH(I372)</f>
        <v>6</v>
      </c>
      <c r="Q372">
        <f>YEAR(I372)</f>
        <v>2022</v>
      </c>
      <c r="R372" t="str">
        <f>IF(K372&gt;=5000,"High Value","Regular")</f>
        <v>High Value</v>
      </c>
      <c r="S372" t="str">
        <f>IF(F372&gt;=4,"Bulk Order","Normal Order")</f>
        <v>Bulk Order</v>
      </c>
    </row>
    <row r="373" spans="1:19" x14ac:dyDescent="0.3">
      <c r="A373" t="s">
        <v>278</v>
      </c>
      <c r="B373" t="s">
        <v>277</v>
      </c>
      <c r="C373" t="s">
        <v>3</v>
      </c>
      <c r="D373">
        <v>49</v>
      </c>
      <c r="E373" t="s">
        <v>8</v>
      </c>
      <c r="F373">
        <v>3</v>
      </c>
      <c r="G373">
        <v>900.24</v>
      </c>
      <c r="H373" t="s">
        <v>15</v>
      </c>
      <c r="I373" s="1">
        <v>44693</v>
      </c>
      <c r="J373" t="s">
        <v>22</v>
      </c>
      <c r="K373">
        <f>F373*G373</f>
        <v>2700.7200000000003</v>
      </c>
      <c r="L373" t="str">
        <f>_xlfn.IFS(D373&lt;20,"Below 20",D373&lt;=30,"20-30",D373&lt;=40,"31-40",D373&lt;=50,"41-50",D373&lt;=60,"51-60",TRUE,"60+")</f>
        <v>41-50</v>
      </c>
      <c r="M373" t="str">
        <f>_xlfn.IFS(K373&lt;500,"Low Spend",K373&lt;=2000,"Medium Spend",K373&lt;=5000,"High Spend",TRUE,"Premium Spend")</f>
        <v>High Spend</v>
      </c>
      <c r="N373" t="str">
        <f>_xlfn.IFS(F373=1,"1 Item",F373&lt;=3,"2-3 Items",F373&lt;=5,"4-5 Items",TRUE,"6+ Items")</f>
        <v>2-3 Items</v>
      </c>
      <c r="O373" t="str">
        <f>TEXT(I373,"mmm")</f>
        <v>May</v>
      </c>
      <c r="P373">
        <f>MONTH(I373)</f>
        <v>5</v>
      </c>
      <c r="Q373">
        <f>YEAR(I373)</f>
        <v>2022</v>
      </c>
      <c r="R373" t="str">
        <f>IF(K373&gt;=5000,"High Value","Regular")</f>
        <v>Regular</v>
      </c>
      <c r="S373" t="str">
        <f>IF(F373&gt;=4,"Bulk Order","Normal Order")</f>
        <v>Normal Order</v>
      </c>
    </row>
    <row r="374" spans="1:19" x14ac:dyDescent="0.3">
      <c r="A374" t="s">
        <v>276</v>
      </c>
      <c r="B374" t="s">
        <v>275</v>
      </c>
      <c r="C374" t="s">
        <v>3</v>
      </c>
      <c r="D374">
        <v>19</v>
      </c>
      <c r="E374" t="s">
        <v>8</v>
      </c>
      <c r="F374">
        <v>5</v>
      </c>
      <c r="G374">
        <v>1500.4</v>
      </c>
      <c r="H374" t="s">
        <v>7</v>
      </c>
      <c r="I374" s="1">
        <v>44922</v>
      </c>
      <c r="J374" t="s">
        <v>22</v>
      </c>
      <c r="K374">
        <f>F374*G374</f>
        <v>7502</v>
      </c>
      <c r="L374" t="str">
        <f>_xlfn.IFS(D374&lt;20,"Below 20",D374&lt;=30,"20-30",D374&lt;=40,"31-40",D374&lt;=50,"41-50",D374&lt;=60,"51-60",TRUE,"60+")</f>
        <v>Below 20</v>
      </c>
      <c r="M374" t="str">
        <f>_xlfn.IFS(K374&lt;500,"Low Spend",K374&lt;=2000,"Medium Spend",K374&lt;=5000,"High Spend",TRUE,"Premium Spend")</f>
        <v>Premium Spend</v>
      </c>
      <c r="N374" t="str">
        <f>_xlfn.IFS(F374=1,"1 Item",F374&lt;=3,"2-3 Items",F374&lt;=5,"4-5 Items",TRUE,"6+ Items")</f>
        <v>4-5 Items</v>
      </c>
      <c r="O374" t="str">
        <f>TEXT(I374,"mmm")</f>
        <v>Dec</v>
      </c>
      <c r="P374">
        <f>MONTH(I374)</f>
        <v>12</v>
      </c>
      <c r="Q374">
        <f>YEAR(I374)</f>
        <v>2022</v>
      </c>
      <c r="R374" t="str">
        <f>IF(K374&gt;=5000,"High Value","Regular")</f>
        <v>High Value</v>
      </c>
      <c r="S374" t="str">
        <f>IF(F374&gt;=4,"Bulk Order","Normal Order")</f>
        <v>Bulk Order</v>
      </c>
    </row>
    <row r="375" spans="1:19" x14ac:dyDescent="0.3">
      <c r="A375" t="s">
        <v>274</v>
      </c>
      <c r="B375" t="s">
        <v>273</v>
      </c>
      <c r="C375" t="s">
        <v>3</v>
      </c>
      <c r="D375">
        <v>58</v>
      </c>
      <c r="E375" t="s">
        <v>16</v>
      </c>
      <c r="F375">
        <v>1</v>
      </c>
      <c r="G375">
        <v>5.23</v>
      </c>
      <c r="H375" t="s">
        <v>7</v>
      </c>
      <c r="I375" s="1">
        <v>44424</v>
      </c>
      <c r="J375" t="s">
        <v>28</v>
      </c>
      <c r="K375">
        <f>F375*G375</f>
        <v>5.23</v>
      </c>
      <c r="L375" t="str">
        <f>_xlfn.IFS(D375&lt;20,"Below 20",D375&lt;=30,"20-30",D375&lt;=40,"31-40",D375&lt;=50,"41-50",D375&lt;=60,"51-60",TRUE,"60+")</f>
        <v>51-60</v>
      </c>
      <c r="M375" t="str">
        <f>_xlfn.IFS(K375&lt;500,"Low Spend",K375&lt;=2000,"Medium Spend",K375&lt;=5000,"High Spend",TRUE,"Premium Spend")</f>
        <v>Low Spend</v>
      </c>
      <c r="N375" t="str">
        <f>_xlfn.IFS(F375=1,"1 Item",F375&lt;=3,"2-3 Items",F375&lt;=5,"4-5 Items",TRUE,"6+ Items")</f>
        <v>1 Item</v>
      </c>
      <c r="O375" t="str">
        <f>TEXT(I375,"mmm")</f>
        <v>Aug</v>
      </c>
      <c r="P375">
        <f>MONTH(I375)</f>
        <v>8</v>
      </c>
      <c r="Q375">
        <f>YEAR(I375)</f>
        <v>2021</v>
      </c>
      <c r="R375" t="str">
        <f>IF(K375&gt;=5000,"High Value","Regular")</f>
        <v>Regular</v>
      </c>
      <c r="S375" t="str">
        <f>IF(F375&gt;=4,"Bulk Order","Normal Order")</f>
        <v>Normal Order</v>
      </c>
    </row>
    <row r="376" spans="1:19" x14ac:dyDescent="0.3">
      <c r="A376" t="s">
        <v>272</v>
      </c>
      <c r="B376" t="s">
        <v>271</v>
      </c>
      <c r="C376" t="s">
        <v>3</v>
      </c>
      <c r="D376">
        <v>49</v>
      </c>
      <c r="E376" t="s">
        <v>16</v>
      </c>
      <c r="F376">
        <v>2</v>
      </c>
      <c r="G376">
        <v>10.46</v>
      </c>
      <c r="H376" t="s">
        <v>1</v>
      </c>
      <c r="I376" s="1">
        <v>44260</v>
      </c>
      <c r="J376" t="s">
        <v>28</v>
      </c>
      <c r="K376">
        <f>F376*G376</f>
        <v>20.92</v>
      </c>
      <c r="L376" t="str">
        <f>_xlfn.IFS(D376&lt;20,"Below 20",D376&lt;=30,"20-30",D376&lt;=40,"31-40",D376&lt;=50,"41-50",D376&lt;=60,"51-60",TRUE,"60+")</f>
        <v>41-50</v>
      </c>
      <c r="M376" t="str">
        <f>_xlfn.IFS(K376&lt;500,"Low Spend",K376&lt;=2000,"Medium Spend",K376&lt;=5000,"High Spend",TRUE,"Premium Spend")</f>
        <v>Low Spend</v>
      </c>
      <c r="N376" t="str">
        <f>_xlfn.IFS(F376=1,"1 Item",F376&lt;=3,"2-3 Items",F376&lt;=5,"4-5 Items",TRUE,"6+ Items")</f>
        <v>2-3 Items</v>
      </c>
      <c r="O376" t="str">
        <f>TEXT(I376,"mmm")</f>
        <v>Mar</v>
      </c>
      <c r="P376">
        <f>MONTH(I376)</f>
        <v>3</v>
      </c>
      <c r="Q376">
        <f>YEAR(I376)</f>
        <v>2021</v>
      </c>
      <c r="R376" t="str">
        <f>IF(K376&gt;=5000,"High Value","Regular")</f>
        <v>Regular</v>
      </c>
      <c r="S376" t="str">
        <f>IF(F376&gt;=4,"Bulk Order","Normal Order")</f>
        <v>Normal Order</v>
      </c>
    </row>
    <row r="377" spans="1:19" x14ac:dyDescent="0.3">
      <c r="A377" t="s">
        <v>270</v>
      </c>
      <c r="B377" t="s">
        <v>269</v>
      </c>
      <c r="C377" t="s">
        <v>3</v>
      </c>
      <c r="D377">
        <v>50</v>
      </c>
      <c r="E377" t="s">
        <v>112</v>
      </c>
      <c r="F377">
        <v>1</v>
      </c>
      <c r="G377">
        <v>1050</v>
      </c>
      <c r="H377" t="s">
        <v>15</v>
      </c>
      <c r="I377" s="1">
        <v>44966</v>
      </c>
      <c r="J377" t="s">
        <v>107</v>
      </c>
      <c r="K377">
        <f>F377*G377</f>
        <v>1050</v>
      </c>
      <c r="L377" t="str">
        <f>_xlfn.IFS(D377&lt;20,"Below 20",D377&lt;=30,"20-30",D377&lt;=40,"31-40",D377&lt;=50,"41-50",D377&lt;=60,"51-60",TRUE,"60+")</f>
        <v>41-50</v>
      </c>
      <c r="M377" t="str">
        <f>_xlfn.IFS(K377&lt;500,"Low Spend",K377&lt;=2000,"Medium Spend",K377&lt;=5000,"High Spend",TRUE,"Premium Spend")</f>
        <v>Medium Spend</v>
      </c>
      <c r="N377" t="str">
        <f>_xlfn.IFS(F377=1,"1 Item",F377&lt;=3,"2-3 Items",F377&lt;=5,"4-5 Items",TRUE,"6+ Items")</f>
        <v>1 Item</v>
      </c>
      <c r="O377" t="str">
        <f>TEXT(I377,"mmm")</f>
        <v>Feb</v>
      </c>
      <c r="P377">
        <f>MONTH(I377)</f>
        <v>2</v>
      </c>
      <c r="Q377">
        <f>YEAR(I377)</f>
        <v>2023</v>
      </c>
      <c r="R377" t="str">
        <f>IF(K377&gt;=5000,"High Value","Regular")</f>
        <v>Regular</v>
      </c>
      <c r="S377" t="str">
        <f>IF(F377&gt;=4,"Bulk Order","Normal Order")</f>
        <v>Normal Order</v>
      </c>
    </row>
    <row r="378" spans="1:19" x14ac:dyDescent="0.3">
      <c r="A378" t="s">
        <v>268</v>
      </c>
      <c r="B378" t="s">
        <v>267</v>
      </c>
      <c r="C378" t="s">
        <v>3</v>
      </c>
      <c r="D378">
        <v>21</v>
      </c>
      <c r="E378" t="s">
        <v>19</v>
      </c>
      <c r="F378">
        <v>4</v>
      </c>
      <c r="G378">
        <v>162.63999999999999</v>
      </c>
      <c r="H378" t="s">
        <v>15</v>
      </c>
      <c r="I378" s="1">
        <v>44983</v>
      </c>
      <c r="J378" t="s">
        <v>0</v>
      </c>
      <c r="K378">
        <f>F378*G378</f>
        <v>650.55999999999995</v>
      </c>
      <c r="L378" t="str">
        <f>_xlfn.IFS(D378&lt;20,"Below 20",D378&lt;=30,"20-30",D378&lt;=40,"31-40",D378&lt;=50,"41-50",D378&lt;=60,"51-60",TRUE,"60+")</f>
        <v>20-30</v>
      </c>
      <c r="M378" t="str">
        <f>_xlfn.IFS(K378&lt;500,"Low Spend",K378&lt;=2000,"Medium Spend",K378&lt;=5000,"High Spend",TRUE,"Premium Spend")</f>
        <v>Medium Spend</v>
      </c>
      <c r="N378" t="str">
        <f>_xlfn.IFS(F378=1,"1 Item",F378&lt;=3,"2-3 Items",F378&lt;=5,"4-5 Items",TRUE,"6+ Items")</f>
        <v>4-5 Items</v>
      </c>
      <c r="O378" t="str">
        <f>TEXT(I378,"mmm")</f>
        <v>Feb</v>
      </c>
      <c r="P378">
        <f>MONTH(I378)</f>
        <v>2</v>
      </c>
      <c r="Q378">
        <f>YEAR(I378)</f>
        <v>2023</v>
      </c>
      <c r="R378" t="str">
        <f>IF(K378&gt;=5000,"High Value","Regular")</f>
        <v>Regular</v>
      </c>
      <c r="S378" t="str">
        <f>IF(F378&gt;=4,"Bulk Order","Normal Order")</f>
        <v>Bulk Order</v>
      </c>
    </row>
    <row r="379" spans="1:19" x14ac:dyDescent="0.3">
      <c r="A379" t="s">
        <v>266</v>
      </c>
      <c r="B379" t="s">
        <v>265</v>
      </c>
      <c r="C379" t="s">
        <v>12</v>
      </c>
      <c r="D379">
        <v>21</v>
      </c>
      <c r="E379" t="s">
        <v>31</v>
      </c>
      <c r="F379">
        <v>2</v>
      </c>
      <c r="G379">
        <v>1200.3399999999999</v>
      </c>
      <c r="H379" t="s">
        <v>15</v>
      </c>
      <c r="I379" s="1">
        <v>44974</v>
      </c>
      <c r="J379" t="s">
        <v>22</v>
      </c>
      <c r="K379">
        <f>F379*G379</f>
        <v>2400.6799999999998</v>
      </c>
      <c r="L379" t="str">
        <f>_xlfn.IFS(D379&lt;20,"Below 20",D379&lt;=30,"20-30",D379&lt;=40,"31-40",D379&lt;=50,"41-50",D379&lt;=60,"51-60",TRUE,"60+")</f>
        <v>20-30</v>
      </c>
      <c r="M379" t="str">
        <f>_xlfn.IFS(K379&lt;500,"Low Spend",K379&lt;=2000,"Medium Spend",K379&lt;=5000,"High Spend",TRUE,"Premium Spend")</f>
        <v>High Spend</v>
      </c>
      <c r="N379" t="str">
        <f>_xlfn.IFS(F379=1,"1 Item",F379&lt;=3,"2-3 Items",F379&lt;=5,"4-5 Items",TRUE,"6+ Items")</f>
        <v>2-3 Items</v>
      </c>
      <c r="O379" t="str">
        <f>TEXT(I379,"mmm")</f>
        <v>Feb</v>
      </c>
      <c r="P379">
        <f>MONTH(I379)</f>
        <v>2</v>
      </c>
      <c r="Q379">
        <f>YEAR(I379)</f>
        <v>2023</v>
      </c>
      <c r="R379" t="str">
        <f>IF(K379&gt;=5000,"High Value","Regular")</f>
        <v>Regular</v>
      </c>
      <c r="S379" t="str">
        <f>IF(F379&gt;=4,"Bulk Order","Normal Order")</f>
        <v>Normal Order</v>
      </c>
    </row>
    <row r="380" spans="1:19" x14ac:dyDescent="0.3">
      <c r="A380" t="s">
        <v>264</v>
      </c>
      <c r="B380" t="s">
        <v>263</v>
      </c>
      <c r="C380" t="s">
        <v>12</v>
      </c>
      <c r="D380">
        <v>63</v>
      </c>
      <c r="E380" t="s">
        <v>19</v>
      </c>
      <c r="F380">
        <v>5</v>
      </c>
      <c r="G380">
        <v>203.3</v>
      </c>
      <c r="H380" t="s">
        <v>1</v>
      </c>
      <c r="I380" s="1">
        <v>44781</v>
      </c>
      <c r="J380" t="s">
        <v>28</v>
      </c>
      <c r="K380">
        <f>F380*G380</f>
        <v>1016.5</v>
      </c>
      <c r="L380" t="str">
        <f>_xlfn.IFS(D380&lt;20,"Below 20",D380&lt;=30,"20-30",D380&lt;=40,"31-40",D380&lt;=50,"41-50",D380&lt;=60,"51-60",TRUE,"60+")</f>
        <v>60+</v>
      </c>
      <c r="M380" t="str">
        <f>_xlfn.IFS(K380&lt;500,"Low Spend",K380&lt;=2000,"Medium Spend",K380&lt;=5000,"High Spend",TRUE,"Premium Spend")</f>
        <v>Medium Spend</v>
      </c>
      <c r="N380" t="str">
        <f>_xlfn.IFS(F380=1,"1 Item",F380&lt;=3,"2-3 Items",F380&lt;=5,"4-5 Items",TRUE,"6+ Items")</f>
        <v>4-5 Items</v>
      </c>
      <c r="O380" t="str">
        <f>TEXT(I380,"mmm")</f>
        <v>Aug</v>
      </c>
      <c r="P380">
        <f>MONTH(I380)</f>
        <v>8</v>
      </c>
      <c r="Q380">
        <f>YEAR(I380)</f>
        <v>2022</v>
      </c>
      <c r="R380" t="str">
        <f>IF(K380&gt;=5000,"High Value","Regular")</f>
        <v>Regular</v>
      </c>
      <c r="S380" t="str">
        <f>IF(F380&gt;=4,"Bulk Order","Normal Order")</f>
        <v>Bulk Order</v>
      </c>
    </row>
    <row r="381" spans="1:19" x14ac:dyDescent="0.3">
      <c r="A381" t="s">
        <v>262</v>
      </c>
      <c r="B381" t="s">
        <v>261</v>
      </c>
      <c r="C381" t="s">
        <v>12</v>
      </c>
      <c r="D381">
        <v>30</v>
      </c>
      <c r="E381" t="s">
        <v>23</v>
      </c>
      <c r="F381">
        <v>2</v>
      </c>
      <c r="G381">
        <v>23.46</v>
      </c>
      <c r="H381" t="s">
        <v>1</v>
      </c>
      <c r="I381" s="1">
        <v>44993</v>
      </c>
      <c r="J381" t="s">
        <v>97</v>
      </c>
      <c r="K381">
        <f>F381*G381</f>
        <v>46.92</v>
      </c>
      <c r="L381" t="str">
        <f>_xlfn.IFS(D381&lt;20,"Below 20",D381&lt;=30,"20-30",D381&lt;=40,"31-40",D381&lt;=50,"41-50",D381&lt;=60,"51-60",TRUE,"60+")</f>
        <v>20-30</v>
      </c>
      <c r="M381" t="str">
        <f>_xlfn.IFS(K381&lt;500,"Low Spend",K381&lt;=2000,"Medium Spend",K381&lt;=5000,"High Spend",TRUE,"Premium Spend")</f>
        <v>Low Spend</v>
      </c>
      <c r="N381" t="str">
        <f>_xlfn.IFS(F381=1,"1 Item",F381&lt;=3,"2-3 Items",F381&lt;=5,"4-5 Items",TRUE,"6+ Items")</f>
        <v>2-3 Items</v>
      </c>
      <c r="O381" t="str">
        <f>TEXT(I381,"mmm")</f>
        <v>Mar</v>
      </c>
      <c r="P381">
        <f>MONTH(I381)</f>
        <v>3</v>
      </c>
      <c r="Q381">
        <f>YEAR(I381)</f>
        <v>2023</v>
      </c>
      <c r="R381" t="str">
        <f>IF(K381&gt;=5000,"High Value","Regular")</f>
        <v>Regular</v>
      </c>
      <c r="S381" t="str">
        <f>IF(F381&gt;=4,"Bulk Order","Normal Order")</f>
        <v>Normal Order</v>
      </c>
    </row>
    <row r="382" spans="1:19" x14ac:dyDescent="0.3">
      <c r="A382" t="s">
        <v>260</v>
      </c>
      <c r="B382" t="s">
        <v>259</v>
      </c>
      <c r="C382" t="s">
        <v>12</v>
      </c>
      <c r="D382">
        <v>66</v>
      </c>
      <c r="E382" t="s">
        <v>31</v>
      </c>
      <c r="F382">
        <v>5</v>
      </c>
      <c r="G382">
        <v>3000.85</v>
      </c>
      <c r="H382" t="s">
        <v>1</v>
      </c>
      <c r="I382" s="1">
        <v>44471</v>
      </c>
      <c r="J382" t="s">
        <v>11</v>
      </c>
      <c r="K382">
        <f>F382*G382</f>
        <v>15004.25</v>
      </c>
      <c r="L382" t="str">
        <f>_xlfn.IFS(D382&lt;20,"Below 20",D382&lt;=30,"20-30",D382&lt;=40,"31-40",D382&lt;=50,"41-50",D382&lt;=60,"51-60",TRUE,"60+")</f>
        <v>60+</v>
      </c>
      <c r="M382" t="str">
        <f>_xlfn.IFS(K382&lt;500,"Low Spend",K382&lt;=2000,"Medium Spend",K382&lt;=5000,"High Spend",TRUE,"Premium Spend")</f>
        <v>Premium Spend</v>
      </c>
      <c r="N382" t="str">
        <f>_xlfn.IFS(F382=1,"1 Item",F382&lt;=3,"2-3 Items",F382&lt;=5,"4-5 Items",TRUE,"6+ Items")</f>
        <v>4-5 Items</v>
      </c>
      <c r="O382" t="str">
        <f>TEXT(I382,"mmm")</f>
        <v>Oct</v>
      </c>
      <c r="P382">
        <f>MONTH(I382)</f>
        <v>10</v>
      </c>
      <c r="Q382">
        <f>YEAR(I382)</f>
        <v>2021</v>
      </c>
      <c r="R382" t="str">
        <f>IF(K382&gt;=5000,"High Value","Regular")</f>
        <v>High Value</v>
      </c>
      <c r="S382" t="str">
        <f>IF(F382&gt;=4,"Bulk Order","Normal Order")</f>
        <v>Bulk Order</v>
      </c>
    </row>
    <row r="383" spans="1:19" x14ac:dyDescent="0.3">
      <c r="A383" t="s">
        <v>258</v>
      </c>
      <c r="B383" t="s">
        <v>257</v>
      </c>
      <c r="C383" t="s">
        <v>3</v>
      </c>
      <c r="D383">
        <v>23</v>
      </c>
      <c r="E383" t="s">
        <v>16</v>
      </c>
      <c r="F383">
        <v>4</v>
      </c>
      <c r="G383">
        <v>20.92</v>
      </c>
      <c r="H383" t="s">
        <v>15</v>
      </c>
      <c r="I383" s="1">
        <v>44552</v>
      </c>
      <c r="J383" t="s">
        <v>22</v>
      </c>
      <c r="K383">
        <f>F383*G383</f>
        <v>83.68</v>
      </c>
      <c r="L383" t="str">
        <f>_xlfn.IFS(D383&lt;20,"Below 20",D383&lt;=30,"20-30",D383&lt;=40,"31-40",D383&lt;=50,"41-50",D383&lt;=60,"51-60",TRUE,"60+")</f>
        <v>20-30</v>
      </c>
      <c r="M383" t="str">
        <f>_xlfn.IFS(K383&lt;500,"Low Spend",K383&lt;=2000,"Medium Spend",K383&lt;=5000,"High Spend",TRUE,"Premium Spend")</f>
        <v>Low Spend</v>
      </c>
      <c r="N383" t="str">
        <f>_xlfn.IFS(F383=1,"1 Item",F383&lt;=3,"2-3 Items",F383&lt;=5,"4-5 Items",TRUE,"6+ Items")</f>
        <v>4-5 Items</v>
      </c>
      <c r="O383" t="str">
        <f>TEXT(I383,"mmm")</f>
        <v>Dec</v>
      </c>
      <c r="P383">
        <f>MONTH(I383)</f>
        <v>12</v>
      </c>
      <c r="Q383">
        <f>YEAR(I383)</f>
        <v>2021</v>
      </c>
      <c r="R383" t="str">
        <f>IF(K383&gt;=5000,"High Value","Regular")</f>
        <v>Regular</v>
      </c>
      <c r="S383" t="str">
        <f>IF(F383&gt;=4,"Bulk Order","Normal Order")</f>
        <v>Bulk Order</v>
      </c>
    </row>
    <row r="384" spans="1:19" x14ac:dyDescent="0.3">
      <c r="A384" t="s">
        <v>256</v>
      </c>
      <c r="B384" t="s">
        <v>255</v>
      </c>
      <c r="C384" t="s">
        <v>3</v>
      </c>
      <c r="D384">
        <v>69</v>
      </c>
      <c r="E384" t="s">
        <v>8</v>
      </c>
      <c r="F384">
        <v>1</v>
      </c>
      <c r="G384">
        <v>300.08</v>
      </c>
      <c r="H384" t="s">
        <v>15</v>
      </c>
      <c r="I384" s="1">
        <v>44451</v>
      </c>
      <c r="J384" t="s">
        <v>11</v>
      </c>
      <c r="K384">
        <f>F384*G384</f>
        <v>300.08</v>
      </c>
      <c r="L384" t="str">
        <f>_xlfn.IFS(D384&lt;20,"Below 20",D384&lt;=30,"20-30",D384&lt;=40,"31-40",D384&lt;=50,"41-50",D384&lt;=60,"51-60",TRUE,"60+")</f>
        <v>60+</v>
      </c>
      <c r="M384" t="str">
        <f>_xlfn.IFS(K384&lt;500,"Low Spend",K384&lt;=2000,"Medium Spend",K384&lt;=5000,"High Spend",TRUE,"Premium Spend")</f>
        <v>Low Spend</v>
      </c>
      <c r="N384" t="str">
        <f>_xlfn.IFS(F384=1,"1 Item",F384&lt;=3,"2-3 Items",F384&lt;=5,"4-5 Items",TRUE,"6+ Items")</f>
        <v>1 Item</v>
      </c>
      <c r="O384" t="str">
        <f>TEXT(I384,"mmm")</f>
        <v>Sep</v>
      </c>
      <c r="P384">
        <f>MONTH(I384)</f>
        <v>9</v>
      </c>
      <c r="Q384">
        <f>YEAR(I384)</f>
        <v>2021</v>
      </c>
      <c r="R384" t="str">
        <f>IF(K384&gt;=5000,"High Value","Regular")</f>
        <v>Regular</v>
      </c>
      <c r="S384" t="str">
        <f>IF(F384&gt;=4,"Bulk Order","Normal Order")</f>
        <v>Normal Order</v>
      </c>
    </row>
    <row r="385" spans="1:19" x14ac:dyDescent="0.3">
      <c r="A385" t="s">
        <v>254</v>
      </c>
      <c r="B385" t="s">
        <v>253</v>
      </c>
      <c r="C385" t="s">
        <v>3</v>
      </c>
      <c r="D385">
        <v>45</v>
      </c>
      <c r="E385" t="s">
        <v>31</v>
      </c>
      <c r="F385">
        <v>4</v>
      </c>
      <c r="G385">
        <v>2400.6799999999998</v>
      </c>
      <c r="H385" t="s">
        <v>1</v>
      </c>
      <c r="I385" s="1">
        <v>44643</v>
      </c>
      <c r="J385" t="s">
        <v>28</v>
      </c>
      <c r="K385">
        <f>F385*G385</f>
        <v>9602.7199999999993</v>
      </c>
      <c r="L385" t="str">
        <f>_xlfn.IFS(D385&lt;20,"Below 20",D385&lt;=30,"20-30",D385&lt;=40,"31-40",D385&lt;=50,"41-50",D385&lt;=60,"51-60",TRUE,"60+")</f>
        <v>41-50</v>
      </c>
      <c r="M385" t="str">
        <f>_xlfn.IFS(K385&lt;500,"Low Spend",K385&lt;=2000,"Medium Spend",K385&lt;=5000,"High Spend",TRUE,"Premium Spend")</f>
        <v>Premium Spend</v>
      </c>
      <c r="N385" t="str">
        <f>_xlfn.IFS(F385=1,"1 Item",F385&lt;=3,"2-3 Items",F385&lt;=5,"4-5 Items",TRUE,"6+ Items")</f>
        <v>4-5 Items</v>
      </c>
      <c r="O385" t="str">
        <f>TEXT(I385,"mmm")</f>
        <v>Mar</v>
      </c>
      <c r="P385">
        <f>MONTH(I385)</f>
        <v>3</v>
      </c>
      <c r="Q385">
        <f>YEAR(I385)</f>
        <v>2022</v>
      </c>
      <c r="R385" t="str">
        <f>IF(K385&gt;=5000,"High Value","Regular")</f>
        <v>High Value</v>
      </c>
      <c r="S385" t="str">
        <f>IF(F385&gt;=4,"Bulk Order","Normal Order")</f>
        <v>Bulk Order</v>
      </c>
    </row>
    <row r="386" spans="1:19" x14ac:dyDescent="0.3">
      <c r="A386" t="s">
        <v>252</v>
      </c>
      <c r="B386" t="s">
        <v>251</v>
      </c>
      <c r="C386" t="s">
        <v>12</v>
      </c>
      <c r="D386">
        <v>53</v>
      </c>
      <c r="E386" t="s">
        <v>8</v>
      </c>
      <c r="F386">
        <v>5</v>
      </c>
      <c r="G386">
        <v>1500.4</v>
      </c>
      <c r="H386" t="s">
        <v>1</v>
      </c>
      <c r="I386" s="1">
        <v>44541</v>
      </c>
      <c r="J386" t="s">
        <v>38</v>
      </c>
      <c r="K386">
        <f>F386*G386</f>
        <v>7502</v>
      </c>
      <c r="L386" t="str">
        <f>_xlfn.IFS(D386&lt;20,"Below 20",D386&lt;=30,"20-30",D386&lt;=40,"31-40",D386&lt;=50,"41-50",D386&lt;=60,"51-60",TRUE,"60+")</f>
        <v>51-60</v>
      </c>
      <c r="M386" t="str">
        <f>_xlfn.IFS(K386&lt;500,"Low Spend",K386&lt;=2000,"Medium Spend",K386&lt;=5000,"High Spend",TRUE,"Premium Spend")</f>
        <v>Premium Spend</v>
      </c>
      <c r="N386" t="str">
        <f>_xlfn.IFS(F386=1,"1 Item",F386&lt;=3,"2-3 Items",F386&lt;=5,"4-5 Items",TRUE,"6+ Items")</f>
        <v>4-5 Items</v>
      </c>
      <c r="O386" t="str">
        <f>TEXT(I386,"mmm")</f>
        <v>Dec</v>
      </c>
      <c r="P386">
        <f>MONTH(I386)</f>
        <v>12</v>
      </c>
      <c r="Q386">
        <f>YEAR(I386)</f>
        <v>2021</v>
      </c>
      <c r="R386" t="str">
        <f>IF(K386&gt;=5000,"High Value","Regular")</f>
        <v>High Value</v>
      </c>
      <c r="S386" t="str">
        <f>IF(F386&gt;=4,"Bulk Order","Normal Order")</f>
        <v>Bulk Order</v>
      </c>
    </row>
    <row r="387" spans="1:19" x14ac:dyDescent="0.3">
      <c r="A387" t="s">
        <v>250</v>
      </c>
      <c r="B387" t="s">
        <v>249</v>
      </c>
      <c r="C387" t="s">
        <v>3</v>
      </c>
      <c r="D387">
        <v>50</v>
      </c>
      <c r="E387" t="s">
        <v>61</v>
      </c>
      <c r="F387">
        <v>1</v>
      </c>
      <c r="G387">
        <v>15.15</v>
      </c>
      <c r="H387" t="s">
        <v>15</v>
      </c>
      <c r="I387" s="1">
        <v>44924</v>
      </c>
      <c r="J387" t="s">
        <v>0</v>
      </c>
      <c r="K387">
        <f>F387*G387</f>
        <v>15.15</v>
      </c>
      <c r="L387" t="str">
        <f>_xlfn.IFS(D387&lt;20,"Below 20",D387&lt;=30,"20-30",D387&lt;=40,"31-40",D387&lt;=50,"41-50",D387&lt;=60,"51-60",TRUE,"60+")</f>
        <v>41-50</v>
      </c>
      <c r="M387" t="str">
        <f>_xlfn.IFS(K387&lt;500,"Low Spend",K387&lt;=2000,"Medium Spend",K387&lt;=5000,"High Spend",TRUE,"Premium Spend")</f>
        <v>Low Spend</v>
      </c>
      <c r="N387" t="str">
        <f>_xlfn.IFS(F387=1,"1 Item",F387&lt;=3,"2-3 Items",F387&lt;=5,"4-5 Items",TRUE,"6+ Items")</f>
        <v>1 Item</v>
      </c>
      <c r="O387" t="str">
        <f>TEXT(I387,"mmm")</f>
        <v>Dec</v>
      </c>
      <c r="P387">
        <f>MONTH(I387)</f>
        <v>12</v>
      </c>
      <c r="Q387">
        <f>YEAR(I387)</f>
        <v>2022</v>
      </c>
      <c r="R387" t="str">
        <f>IF(K387&gt;=5000,"High Value","Regular")</f>
        <v>Regular</v>
      </c>
      <c r="S387" t="str">
        <f>IF(F387&gt;=4,"Bulk Order","Normal Order")</f>
        <v>Normal Order</v>
      </c>
    </row>
    <row r="388" spans="1:19" x14ac:dyDescent="0.3">
      <c r="A388" t="s">
        <v>248</v>
      </c>
      <c r="B388" t="s">
        <v>247</v>
      </c>
      <c r="C388" t="s">
        <v>3</v>
      </c>
      <c r="D388">
        <v>45</v>
      </c>
      <c r="E388" t="s">
        <v>8</v>
      </c>
      <c r="F388">
        <v>3</v>
      </c>
      <c r="G388">
        <v>900.24</v>
      </c>
      <c r="H388" t="s">
        <v>7</v>
      </c>
      <c r="I388" s="1">
        <v>44993</v>
      </c>
      <c r="J388" t="s">
        <v>102</v>
      </c>
      <c r="K388">
        <f>F388*G388</f>
        <v>2700.7200000000003</v>
      </c>
      <c r="L388" t="str">
        <f>_xlfn.IFS(D388&lt;20,"Below 20",D388&lt;=30,"20-30",D388&lt;=40,"31-40",D388&lt;=50,"41-50",D388&lt;=60,"51-60",TRUE,"60+")</f>
        <v>41-50</v>
      </c>
      <c r="M388" t="str">
        <f>_xlfn.IFS(K388&lt;500,"Low Spend",K388&lt;=2000,"Medium Spend",K388&lt;=5000,"High Spend",TRUE,"Premium Spend")</f>
        <v>High Spend</v>
      </c>
      <c r="N388" t="str">
        <f>_xlfn.IFS(F388=1,"1 Item",F388&lt;=3,"2-3 Items",F388&lt;=5,"4-5 Items",TRUE,"6+ Items")</f>
        <v>2-3 Items</v>
      </c>
      <c r="O388" t="str">
        <f>TEXT(I388,"mmm")</f>
        <v>Mar</v>
      </c>
      <c r="P388">
        <f>MONTH(I388)</f>
        <v>3</v>
      </c>
      <c r="Q388">
        <f>YEAR(I388)</f>
        <v>2023</v>
      </c>
      <c r="R388" t="str">
        <f>IF(K388&gt;=5000,"High Value","Regular")</f>
        <v>Regular</v>
      </c>
      <c r="S388" t="str">
        <f>IF(F388&gt;=4,"Bulk Order","Normal Order")</f>
        <v>Normal Order</v>
      </c>
    </row>
    <row r="389" spans="1:19" x14ac:dyDescent="0.3">
      <c r="A389" t="s">
        <v>246</v>
      </c>
      <c r="B389" t="s">
        <v>245</v>
      </c>
      <c r="C389" t="s">
        <v>3</v>
      </c>
      <c r="D389">
        <v>47</v>
      </c>
      <c r="E389" t="s">
        <v>16</v>
      </c>
      <c r="F389">
        <v>3</v>
      </c>
      <c r="G389">
        <v>15.69</v>
      </c>
      <c r="H389" t="s">
        <v>7</v>
      </c>
      <c r="I389" s="1">
        <v>44237</v>
      </c>
      <c r="J389" t="s">
        <v>97</v>
      </c>
      <c r="K389">
        <f>F389*G389</f>
        <v>47.07</v>
      </c>
      <c r="L389" t="str">
        <f>_xlfn.IFS(D389&lt;20,"Below 20",D389&lt;=30,"20-30",D389&lt;=40,"31-40",D389&lt;=50,"41-50",D389&lt;=60,"51-60",TRUE,"60+")</f>
        <v>41-50</v>
      </c>
      <c r="M389" t="str">
        <f>_xlfn.IFS(K389&lt;500,"Low Spend",K389&lt;=2000,"Medium Spend",K389&lt;=5000,"High Spend",TRUE,"Premium Spend")</f>
        <v>Low Spend</v>
      </c>
      <c r="N389" t="str">
        <f>_xlfn.IFS(F389=1,"1 Item",F389&lt;=3,"2-3 Items",F389&lt;=5,"4-5 Items",TRUE,"6+ Items")</f>
        <v>2-3 Items</v>
      </c>
      <c r="O389" t="str">
        <f>TEXT(I389,"mmm")</f>
        <v>Feb</v>
      </c>
      <c r="P389">
        <f>MONTH(I389)</f>
        <v>2</v>
      </c>
      <c r="Q389">
        <f>YEAR(I389)</f>
        <v>2021</v>
      </c>
      <c r="R389" t="str">
        <f>IF(K389&gt;=5000,"High Value","Regular")</f>
        <v>Regular</v>
      </c>
      <c r="S389" t="str">
        <f>IF(F389&gt;=4,"Bulk Order","Normal Order")</f>
        <v>Normal Order</v>
      </c>
    </row>
    <row r="390" spans="1:19" x14ac:dyDescent="0.3">
      <c r="A390" t="s">
        <v>244</v>
      </c>
      <c r="B390" t="s">
        <v>243</v>
      </c>
      <c r="C390" t="s">
        <v>3</v>
      </c>
      <c r="D390">
        <v>36</v>
      </c>
      <c r="E390" t="s">
        <v>8</v>
      </c>
      <c r="F390">
        <v>1</v>
      </c>
      <c r="G390">
        <v>300.08</v>
      </c>
      <c r="H390" t="s">
        <v>7</v>
      </c>
      <c r="I390" s="1">
        <v>44326</v>
      </c>
      <c r="J390" t="s">
        <v>11</v>
      </c>
      <c r="K390">
        <f>F390*G390</f>
        <v>300.08</v>
      </c>
      <c r="L390" t="str">
        <f>_xlfn.IFS(D390&lt;20,"Below 20",D390&lt;=30,"20-30",D390&lt;=40,"31-40",D390&lt;=50,"41-50",D390&lt;=60,"51-60",TRUE,"60+")</f>
        <v>31-40</v>
      </c>
      <c r="M390" t="str">
        <f>_xlfn.IFS(K390&lt;500,"Low Spend",K390&lt;=2000,"Medium Spend",K390&lt;=5000,"High Spend",TRUE,"Premium Spend")</f>
        <v>Low Spend</v>
      </c>
      <c r="N390" t="str">
        <f>_xlfn.IFS(F390=1,"1 Item",F390&lt;=3,"2-3 Items",F390&lt;=5,"4-5 Items",TRUE,"6+ Items")</f>
        <v>1 Item</v>
      </c>
      <c r="O390" t="str">
        <f>TEXT(I390,"mmm")</f>
        <v>May</v>
      </c>
      <c r="P390">
        <f>MONTH(I390)</f>
        <v>5</v>
      </c>
      <c r="Q390">
        <f>YEAR(I390)</f>
        <v>2021</v>
      </c>
      <c r="R390" t="str">
        <f>IF(K390&gt;=5000,"High Value","Regular")</f>
        <v>Regular</v>
      </c>
      <c r="S390" t="str">
        <f>IF(F390&gt;=4,"Bulk Order","Normal Order")</f>
        <v>Normal Order</v>
      </c>
    </row>
    <row r="391" spans="1:19" x14ac:dyDescent="0.3">
      <c r="A391" t="s">
        <v>242</v>
      </c>
      <c r="B391" t="s">
        <v>241</v>
      </c>
      <c r="C391" t="s">
        <v>3</v>
      </c>
      <c r="D391">
        <v>61</v>
      </c>
      <c r="E391" t="s">
        <v>16</v>
      </c>
      <c r="F391">
        <v>3</v>
      </c>
      <c r="G391">
        <v>15.69</v>
      </c>
      <c r="H391" t="s">
        <v>15</v>
      </c>
      <c r="I391" s="1">
        <v>44626</v>
      </c>
      <c r="J391" t="s">
        <v>68</v>
      </c>
      <c r="K391">
        <f>F391*G391</f>
        <v>47.07</v>
      </c>
      <c r="L391" t="str">
        <f>_xlfn.IFS(D391&lt;20,"Below 20",D391&lt;=30,"20-30",D391&lt;=40,"31-40",D391&lt;=50,"41-50",D391&lt;=60,"51-60",TRUE,"60+")</f>
        <v>60+</v>
      </c>
      <c r="M391" t="str">
        <f>_xlfn.IFS(K391&lt;500,"Low Spend",K391&lt;=2000,"Medium Spend",K391&lt;=5000,"High Spend",TRUE,"Premium Spend")</f>
        <v>Low Spend</v>
      </c>
      <c r="N391" t="str">
        <f>_xlfn.IFS(F391=1,"1 Item",F391&lt;=3,"2-3 Items",F391&lt;=5,"4-5 Items",TRUE,"6+ Items")</f>
        <v>2-3 Items</v>
      </c>
      <c r="O391" t="str">
        <f>TEXT(I391,"mmm")</f>
        <v>Mar</v>
      </c>
      <c r="P391">
        <f>MONTH(I391)</f>
        <v>3</v>
      </c>
      <c r="Q391">
        <f>YEAR(I391)</f>
        <v>2022</v>
      </c>
      <c r="R391" t="str">
        <f>IF(K391&gt;=5000,"High Value","Regular")</f>
        <v>Regular</v>
      </c>
      <c r="S391" t="str">
        <f>IF(F391&gt;=4,"Bulk Order","Normal Order")</f>
        <v>Normal Order</v>
      </c>
    </row>
    <row r="392" spans="1:19" x14ac:dyDescent="0.3">
      <c r="A392" t="s">
        <v>240</v>
      </c>
      <c r="B392" t="s">
        <v>239</v>
      </c>
      <c r="C392" t="s">
        <v>3</v>
      </c>
      <c r="D392">
        <v>46</v>
      </c>
      <c r="E392" t="s">
        <v>2</v>
      </c>
      <c r="F392">
        <v>4</v>
      </c>
      <c r="G392">
        <v>143.36000000000001</v>
      </c>
      <c r="H392" t="s">
        <v>1</v>
      </c>
      <c r="I392" s="1">
        <v>44284</v>
      </c>
      <c r="J392" t="s">
        <v>22</v>
      </c>
      <c r="K392">
        <f>F392*G392</f>
        <v>573.44000000000005</v>
      </c>
      <c r="L392" t="str">
        <f>_xlfn.IFS(D392&lt;20,"Below 20",D392&lt;=30,"20-30",D392&lt;=40,"31-40",D392&lt;=50,"41-50",D392&lt;=60,"51-60",TRUE,"60+")</f>
        <v>41-50</v>
      </c>
      <c r="M392" t="str">
        <f>_xlfn.IFS(K392&lt;500,"Low Spend",K392&lt;=2000,"Medium Spend",K392&lt;=5000,"High Spend",TRUE,"Premium Spend")</f>
        <v>Medium Spend</v>
      </c>
      <c r="N392" t="str">
        <f>_xlfn.IFS(F392=1,"1 Item",F392&lt;=3,"2-3 Items",F392&lt;=5,"4-5 Items",TRUE,"6+ Items")</f>
        <v>4-5 Items</v>
      </c>
      <c r="O392" t="str">
        <f>TEXT(I392,"mmm")</f>
        <v>Mar</v>
      </c>
      <c r="P392">
        <f>MONTH(I392)</f>
        <v>3</v>
      </c>
      <c r="Q392">
        <f>YEAR(I392)</f>
        <v>2021</v>
      </c>
      <c r="R392" t="str">
        <f>IF(K392&gt;=5000,"High Value","Regular")</f>
        <v>Regular</v>
      </c>
      <c r="S392" t="str">
        <f>IF(F392&gt;=4,"Bulk Order","Normal Order")</f>
        <v>Bulk Order</v>
      </c>
    </row>
    <row r="393" spans="1:19" x14ac:dyDescent="0.3">
      <c r="A393" t="s">
        <v>238</v>
      </c>
      <c r="B393" t="s">
        <v>237</v>
      </c>
      <c r="C393" t="s">
        <v>12</v>
      </c>
      <c r="D393">
        <v>47</v>
      </c>
      <c r="E393" t="s">
        <v>112</v>
      </c>
      <c r="F393">
        <v>5</v>
      </c>
      <c r="G393">
        <v>5250</v>
      </c>
      <c r="H393" t="s">
        <v>7</v>
      </c>
      <c r="I393" s="1">
        <v>44838</v>
      </c>
      <c r="J393" t="s">
        <v>102</v>
      </c>
      <c r="K393">
        <f>F393*G393</f>
        <v>26250</v>
      </c>
      <c r="L393" t="str">
        <f>_xlfn.IFS(D393&lt;20,"Below 20",D393&lt;=30,"20-30",D393&lt;=40,"31-40",D393&lt;=50,"41-50",D393&lt;=60,"51-60",TRUE,"60+")</f>
        <v>41-50</v>
      </c>
      <c r="M393" t="str">
        <f>_xlfn.IFS(K393&lt;500,"Low Spend",K393&lt;=2000,"Medium Spend",K393&lt;=5000,"High Spend",TRUE,"Premium Spend")</f>
        <v>Premium Spend</v>
      </c>
      <c r="N393" t="str">
        <f>_xlfn.IFS(F393=1,"1 Item",F393&lt;=3,"2-3 Items",F393&lt;=5,"4-5 Items",TRUE,"6+ Items")</f>
        <v>4-5 Items</v>
      </c>
      <c r="O393" t="str">
        <f>TEXT(I393,"mmm")</f>
        <v>Oct</v>
      </c>
      <c r="P393">
        <f>MONTH(I393)</f>
        <v>10</v>
      </c>
      <c r="Q393">
        <f>YEAR(I393)</f>
        <v>2022</v>
      </c>
      <c r="R393" t="str">
        <f>IF(K393&gt;=5000,"High Value","Regular")</f>
        <v>High Value</v>
      </c>
      <c r="S393" t="str">
        <f>IF(F393&gt;=4,"Bulk Order","Normal Order")</f>
        <v>Bulk Order</v>
      </c>
    </row>
    <row r="394" spans="1:19" x14ac:dyDescent="0.3">
      <c r="A394" t="s">
        <v>236</v>
      </c>
      <c r="B394" t="s">
        <v>235</v>
      </c>
      <c r="C394" t="s">
        <v>3</v>
      </c>
      <c r="D394">
        <v>38</v>
      </c>
      <c r="E394" t="s">
        <v>8</v>
      </c>
      <c r="F394">
        <v>5</v>
      </c>
      <c r="G394">
        <v>1500.4</v>
      </c>
      <c r="H394" t="s">
        <v>15</v>
      </c>
      <c r="I394" s="1">
        <v>44504</v>
      </c>
      <c r="J394" t="s">
        <v>22</v>
      </c>
      <c r="K394">
        <f>F394*G394</f>
        <v>7502</v>
      </c>
      <c r="L394" t="str">
        <f>_xlfn.IFS(D394&lt;20,"Below 20",D394&lt;=30,"20-30",D394&lt;=40,"31-40",D394&lt;=50,"41-50",D394&lt;=60,"51-60",TRUE,"60+")</f>
        <v>31-40</v>
      </c>
      <c r="M394" t="str">
        <f>_xlfn.IFS(K394&lt;500,"Low Spend",K394&lt;=2000,"Medium Spend",K394&lt;=5000,"High Spend",TRUE,"Premium Spend")</f>
        <v>Premium Spend</v>
      </c>
      <c r="N394" t="str">
        <f>_xlfn.IFS(F394=1,"1 Item",F394&lt;=3,"2-3 Items",F394&lt;=5,"4-5 Items",TRUE,"6+ Items")</f>
        <v>4-5 Items</v>
      </c>
      <c r="O394" t="str">
        <f>TEXT(I394,"mmm")</f>
        <v>Nov</v>
      </c>
      <c r="P394">
        <f>MONTH(I394)</f>
        <v>11</v>
      </c>
      <c r="Q394">
        <f>YEAR(I394)</f>
        <v>2021</v>
      </c>
      <c r="R394" t="str">
        <f>IF(K394&gt;=5000,"High Value","Regular")</f>
        <v>High Value</v>
      </c>
      <c r="S394" t="str">
        <f>IF(F394&gt;=4,"Bulk Order","Normal Order")</f>
        <v>Bulk Order</v>
      </c>
    </row>
    <row r="395" spans="1:19" x14ac:dyDescent="0.3">
      <c r="A395" t="s">
        <v>234</v>
      </c>
      <c r="B395" t="s">
        <v>233</v>
      </c>
      <c r="C395" t="s">
        <v>3</v>
      </c>
      <c r="D395">
        <v>41</v>
      </c>
      <c r="E395" t="s">
        <v>8</v>
      </c>
      <c r="F395">
        <v>1</v>
      </c>
      <c r="G395">
        <v>300.08</v>
      </c>
      <c r="H395" t="s">
        <v>1</v>
      </c>
      <c r="I395" s="1">
        <v>44873</v>
      </c>
      <c r="J395" t="s">
        <v>28</v>
      </c>
      <c r="K395">
        <f>F395*G395</f>
        <v>300.08</v>
      </c>
      <c r="L395" t="str">
        <f>_xlfn.IFS(D395&lt;20,"Below 20",D395&lt;=30,"20-30",D395&lt;=40,"31-40",D395&lt;=50,"41-50",D395&lt;=60,"51-60",TRUE,"60+")</f>
        <v>41-50</v>
      </c>
      <c r="M395" t="str">
        <f>_xlfn.IFS(K395&lt;500,"Low Spend",K395&lt;=2000,"Medium Spend",K395&lt;=5000,"High Spend",TRUE,"Premium Spend")</f>
        <v>Low Spend</v>
      </c>
      <c r="N395" t="str">
        <f>_xlfn.IFS(F395=1,"1 Item",F395&lt;=3,"2-3 Items",F395&lt;=5,"4-5 Items",TRUE,"6+ Items")</f>
        <v>1 Item</v>
      </c>
      <c r="O395" t="str">
        <f>TEXT(I395,"mmm")</f>
        <v>Nov</v>
      </c>
      <c r="P395">
        <f>MONTH(I395)</f>
        <v>11</v>
      </c>
      <c r="Q395">
        <f>YEAR(I395)</f>
        <v>2022</v>
      </c>
      <c r="R395" t="str">
        <f>IF(K395&gt;=5000,"High Value","Regular")</f>
        <v>Regular</v>
      </c>
      <c r="S395" t="str">
        <f>IF(F395&gt;=4,"Bulk Order","Normal Order")</f>
        <v>Normal Order</v>
      </c>
    </row>
    <row r="396" spans="1:19" x14ac:dyDescent="0.3">
      <c r="A396" t="s">
        <v>232</v>
      </c>
      <c r="B396" t="s">
        <v>231</v>
      </c>
      <c r="C396" t="s">
        <v>12</v>
      </c>
      <c r="D396">
        <v>29</v>
      </c>
      <c r="E396" t="s">
        <v>8</v>
      </c>
      <c r="F396">
        <v>4</v>
      </c>
      <c r="G396">
        <v>1200.32</v>
      </c>
      <c r="H396" t="s">
        <v>15</v>
      </c>
      <c r="I396" s="1">
        <v>44333</v>
      </c>
      <c r="J396" t="s">
        <v>0</v>
      </c>
      <c r="K396">
        <f>F396*G396</f>
        <v>4801.28</v>
      </c>
      <c r="L396" t="str">
        <f>_xlfn.IFS(D396&lt;20,"Below 20",D396&lt;=30,"20-30",D396&lt;=40,"31-40",D396&lt;=50,"41-50",D396&lt;=60,"51-60",TRUE,"60+")</f>
        <v>20-30</v>
      </c>
      <c r="M396" t="str">
        <f>_xlfn.IFS(K396&lt;500,"Low Spend",K396&lt;=2000,"Medium Spend",K396&lt;=5000,"High Spend",TRUE,"Premium Spend")</f>
        <v>High Spend</v>
      </c>
      <c r="N396" t="str">
        <f>_xlfn.IFS(F396=1,"1 Item",F396&lt;=3,"2-3 Items",F396&lt;=5,"4-5 Items",TRUE,"6+ Items")</f>
        <v>4-5 Items</v>
      </c>
      <c r="O396" t="str">
        <f>TEXT(I396,"mmm")</f>
        <v>May</v>
      </c>
      <c r="P396">
        <f>MONTH(I396)</f>
        <v>5</v>
      </c>
      <c r="Q396">
        <f>YEAR(I396)</f>
        <v>2021</v>
      </c>
      <c r="R396" t="str">
        <f>IF(K396&gt;=5000,"High Value","Regular")</f>
        <v>Regular</v>
      </c>
      <c r="S396" t="str">
        <f>IF(F396&gt;=4,"Bulk Order","Normal Order")</f>
        <v>Bulk Order</v>
      </c>
    </row>
    <row r="397" spans="1:19" x14ac:dyDescent="0.3">
      <c r="A397" t="s">
        <v>230</v>
      </c>
      <c r="B397" t="s">
        <v>229</v>
      </c>
      <c r="C397" t="s">
        <v>3</v>
      </c>
      <c r="D397">
        <v>58</v>
      </c>
      <c r="E397" t="s">
        <v>19</v>
      </c>
      <c r="F397">
        <v>3</v>
      </c>
      <c r="G397">
        <v>121.98</v>
      </c>
      <c r="H397" t="s">
        <v>1</v>
      </c>
      <c r="I397" s="1">
        <v>44728</v>
      </c>
      <c r="J397" t="s">
        <v>28</v>
      </c>
      <c r="K397">
        <f>F397*G397</f>
        <v>365.94</v>
      </c>
      <c r="L397" t="str">
        <f>_xlfn.IFS(D397&lt;20,"Below 20",D397&lt;=30,"20-30",D397&lt;=40,"31-40",D397&lt;=50,"41-50",D397&lt;=60,"51-60",TRUE,"60+")</f>
        <v>51-60</v>
      </c>
      <c r="M397" t="str">
        <f>_xlfn.IFS(K397&lt;500,"Low Spend",K397&lt;=2000,"Medium Spend",K397&lt;=5000,"High Spend",TRUE,"Premium Spend")</f>
        <v>Low Spend</v>
      </c>
      <c r="N397" t="str">
        <f>_xlfn.IFS(F397=1,"1 Item",F397&lt;=3,"2-3 Items",F397&lt;=5,"4-5 Items",TRUE,"6+ Items")</f>
        <v>2-3 Items</v>
      </c>
      <c r="O397" t="str">
        <f>TEXT(I397,"mmm")</f>
        <v>Jun</v>
      </c>
      <c r="P397">
        <f>MONTH(I397)</f>
        <v>6</v>
      </c>
      <c r="Q397">
        <f>YEAR(I397)</f>
        <v>2022</v>
      </c>
      <c r="R397" t="str">
        <f>IF(K397&gt;=5000,"High Value","Regular")</f>
        <v>Regular</v>
      </c>
      <c r="S397" t="str">
        <f>IF(F397&gt;=4,"Bulk Order","Normal Order")</f>
        <v>Normal Order</v>
      </c>
    </row>
    <row r="398" spans="1:19" x14ac:dyDescent="0.3">
      <c r="A398" t="s">
        <v>228</v>
      </c>
      <c r="B398" t="s">
        <v>227</v>
      </c>
      <c r="C398" t="s">
        <v>12</v>
      </c>
      <c r="D398">
        <v>69</v>
      </c>
      <c r="E398" t="s">
        <v>112</v>
      </c>
      <c r="F398">
        <v>3</v>
      </c>
      <c r="G398">
        <v>3150</v>
      </c>
      <c r="H398" t="s">
        <v>7</v>
      </c>
      <c r="I398" s="1">
        <v>44828</v>
      </c>
      <c r="J398" t="s">
        <v>102</v>
      </c>
      <c r="K398">
        <f>F398*G398</f>
        <v>9450</v>
      </c>
      <c r="L398" t="str">
        <f>_xlfn.IFS(D398&lt;20,"Below 20",D398&lt;=30,"20-30",D398&lt;=40,"31-40",D398&lt;=50,"41-50",D398&lt;=60,"51-60",TRUE,"60+")</f>
        <v>60+</v>
      </c>
      <c r="M398" t="str">
        <f>_xlfn.IFS(K398&lt;500,"Low Spend",K398&lt;=2000,"Medium Spend",K398&lt;=5000,"High Spend",TRUE,"Premium Spend")</f>
        <v>Premium Spend</v>
      </c>
      <c r="N398" t="str">
        <f>_xlfn.IFS(F398=1,"1 Item",F398&lt;=3,"2-3 Items",F398&lt;=5,"4-5 Items",TRUE,"6+ Items")</f>
        <v>2-3 Items</v>
      </c>
      <c r="O398" t="str">
        <f>TEXT(I398,"mmm")</f>
        <v>Sep</v>
      </c>
      <c r="P398">
        <f>MONTH(I398)</f>
        <v>9</v>
      </c>
      <c r="Q398">
        <f>YEAR(I398)</f>
        <v>2022</v>
      </c>
      <c r="R398" t="str">
        <f>IF(K398&gt;=5000,"High Value","Regular")</f>
        <v>High Value</v>
      </c>
      <c r="S398" t="str">
        <f>IF(F398&gt;=4,"Bulk Order","Normal Order")</f>
        <v>Normal Order</v>
      </c>
    </row>
    <row r="399" spans="1:19" x14ac:dyDescent="0.3">
      <c r="A399" t="s">
        <v>226</v>
      </c>
      <c r="B399" t="s">
        <v>225</v>
      </c>
      <c r="C399" t="s">
        <v>3</v>
      </c>
      <c r="D399">
        <v>53</v>
      </c>
      <c r="E399" t="s">
        <v>19</v>
      </c>
      <c r="F399">
        <v>4</v>
      </c>
      <c r="G399">
        <v>162.63999999999999</v>
      </c>
      <c r="H399" t="s">
        <v>15</v>
      </c>
      <c r="I399" s="1">
        <v>44655</v>
      </c>
      <c r="J399" t="s">
        <v>68</v>
      </c>
      <c r="K399">
        <f>F399*G399</f>
        <v>650.55999999999995</v>
      </c>
      <c r="L399" t="str">
        <f>_xlfn.IFS(D399&lt;20,"Below 20",D399&lt;=30,"20-30",D399&lt;=40,"31-40",D399&lt;=50,"41-50",D399&lt;=60,"51-60",TRUE,"60+")</f>
        <v>51-60</v>
      </c>
      <c r="M399" t="str">
        <f>_xlfn.IFS(K399&lt;500,"Low Spend",K399&lt;=2000,"Medium Spend",K399&lt;=5000,"High Spend",TRUE,"Premium Spend")</f>
        <v>Medium Spend</v>
      </c>
      <c r="N399" t="str">
        <f>_xlfn.IFS(F399=1,"1 Item",F399&lt;=3,"2-3 Items",F399&lt;=5,"4-5 Items",TRUE,"6+ Items")</f>
        <v>4-5 Items</v>
      </c>
      <c r="O399" t="str">
        <f>TEXT(I399,"mmm")</f>
        <v>Apr</v>
      </c>
      <c r="P399">
        <f>MONTH(I399)</f>
        <v>4</v>
      </c>
      <c r="Q399">
        <f>YEAR(I399)</f>
        <v>2022</v>
      </c>
      <c r="R399" t="str">
        <f>IF(K399&gt;=5000,"High Value","Regular")</f>
        <v>Regular</v>
      </c>
      <c r="S399" t="str">
        <f>IF(F399&gt;=4,"Bulk Order","Normal Order")</f>
        <v>Bulk Order</v>
      </c>
    </row>
    <row r="400" spans="1:19" x14ac:dyDescent="0.3">
      <c r="A400" t="s">
        <v>224</v>
      </c>
      <c r="B400" t="s">
        <v>223</v>
      </c>
      <c r="C400" t="s">
        <v>12</v>
      </c>
      <c r="D400">
        <v>26</v>
      </c>
      <c r="E400" t="s">
        <v>16</v>
      </c>
      <c r="F400">
        <v>1</v>
      </c>
      <c r="G400">
        <v>5.23</v>
      </c>
      <c r="H400" t="s">
        <v>15</v>
      </c>
      <c r="I400" s="1">
        <v>44852</v>
      </c>
      <c r="J400" t="s">
        <v>11</v>
      </c>
      <c r="K400">
        <f>F400*G400</f>
        <v>5.23</v>
      </c>
      <c r="L400" t="str">
        <f>_xlfn.IFS(D400&lt;20,"Below 20",D400&lt;=30,"20-30",D400&lt;=40,"31-40",D400&lt;=50,"41-50",D400&lt;=60,"51-60",TRUE,"60+")</f>
        <v>20-30</v>
      </c>
      <c r="M400" t="str">
        <f>_xlfn.IFS(K400&lt;500,"Low Spend",K400&lt;=2000,"Medium Spend",K400&lt;=5000,"High Spend",TRUE,"Premium Spend")</f>
        <v>Low Spend</v>
      </c>
      <c r="N400" t="str">
        <f>_xlfn.IFS(F400=1,"1 Item",F400&lt;=3,"2-3 Items",F400&lt;=5,"4-5 Items",TRUE,"6+ Items")</f>
        <v>1 Item</v>
      </c>
      <c r="O400" t="str">
        <f>TEXT(I400,"mmm")</f>
        <v>Oct</v>
      </c>
      <c r="P400">
        <f>MONTH(I400)</f>
        <v>10</v>
      </c>
      <c r="Q400">
        <f>YEAR(I400)</f>
        <v>2022</v>
      </c>
      <c r="R400" t="str">
        <f>IF(K400&gt;=5000,"High Value","Regular")</f>
        <v>Regular</v>
      </c>
      <c r="S400" t="str">
        <f>IF(F400&gt;=4,"Bulk Order","Normal Order")</f>
        <v>Normal Order</v>
      </c>
    </row>
    <row r="401" spans="1:19" x14ac:dyDescent="0.3">
      <c r="A401" t="s">
        <v>222</v>
      </c>
      <c r="B401" t="s">
        <v>221</v>
      </c>
      <c r="C401" t="s">
        <v>12</v>
      </c>
      <c r="D401">
        <v>53</v>
      </c>
      <c r="E401" t="s">
        <v>16</v>
      </c>
      <c r="F401">
        <v>1</v>
      </c>
      <c r="G401">
        <v>5.23</v>
      </c>
      <c r="H401" t="s">
        <v>15</v>
      </c>
      <c r="I401" s="1">
        <v>44485</v>
      </c>
      <c r="J401" t="s">
        <v>22</v>
      </c>
      <c r="K401">
        <f>F401*G401</f>
        <v>5.23</v>
      </c>
      <c r="L401" t="str">
        <f>_xlfn.IFS(D401&lt;20,"Below 20",D401&lt;=30,"20-30",D401&lt;=40,"31-40",D401&lt;=50,"41-50",D401&lt;=60,"51-60",TRUE,"60+")</f>
        <v>51-60</v>
      </c>
      <c r="M401" t="str">
        <f>_xlfn.IFS(K401&lt;500,"Low Spend",K401&lt;=2000,"Medium Spend",K401&lt;=5000,"High Spend",TRUE,"Premium Spend")</f>
        <v>Low Spend</v>
      </c>
      <c r="N401" t="str">
        <f>_xlfn.IFS(F401=1,"1 Item",F401&lt;=3,"2-3 Items",F401&lt;=5,"4-5 Items",TRUE,"6+ Items")</f>
        <v>1 Item</v>
      </c>
      <c r="O401" t="str">
        <f>TEXT(I401,"mmm")</f>
        <v>Oct</v>
      </c>
      <c r="P401">
        <f>MONTH(I401)</f>
        <v>10</v>
      </c>
      <c r="Q401">
        <f>YEAR(I401)</f>
        <v>2021</v>
      </c>
      <c r="R401" t="str">
        <f>IF(K401&gt;=5000,"High Value","Regular")</f>
        <v>Regular</v>
      </c>
      <c r="S401" t="str">
        <f>IF(F401&gt;=4,"Bulk Order","Normal Order")</f>
        <v>Normal Order</v>
      </c>
    </row>
    <row r="402" spans="1:19" x14ac:dyDescent="0.3">
      <c r="A402" t="s">
        <v>220</v>
      </c>
      <c r="B402" t="s">
        <v>219</v>
      </c>
      <c r="C402" t="s">
        <v>3</v>
      </c>
      <c r="D402">
        <v>63</v>
      </c>
      <c r="E402" t="s">
        <v>8</v>
      </c>
      <c r="F402">
        <v>4</v>
      </c>
      <c r="G402">
        <v>1200.32</v>
      </c>
      <c r="H402" t="s">
        <v>1</v>
      </c>
      <c r="I402" s="1">
        <v>44333</v>
      </c>
      <c r="J402" t="s">
        <v>0</v>
      </c>
      <c r="K402">
        <f>F402*G402</f>
        <v>4801.28</v>
      </c>
      <c r="L402" t="str">
        <f>_xlfn.IFS(D402&lt;20,"Below 20",D402&lt;=30,"20-30",D402&lt;=40,"31-40",D402&lt;=50,"41-50",D402&lt;=60,"51-60",TRUE,"60+")</f>
        <v>60+</v>
      </c>
      <c r="M402" t="str">
        <f>_xlfn.IFS(K402&lt;500,"Low Spend",K402&lt;=2000,"Medium Spend",K402&lt;=5000,"High Spend",TRUE,"Premium Spend")</f>
        <v>High Spend</v>
      </c>
      <c r="N402" t="str">
        <f>_xlfn.IFS(F402=1,"1 Item",F402&lt;=3,"2-3 Items",F402&lt;=5,"4-5 Items",TRUE,"6+ Items")</f>
        <v>4-5 Items</v>
      </c>
      <c r="O402" t="str">
        <f>TEXT(I402,"mmm")</f>
        <v>May</v>
      </c>
      <c r="P402">
        <f>MONTH(I402)</f>
        <v>5</v>
      </c>
      <c r="Q402">
        <f>YEAR(I402)</f>
        <v>2021</v>
      </c>
      <c r="R402" t="str">
        <f>IF(K402&gt;=5000,"High Value","Regular")</f>
        <v>Regular</v>
      </c>
      <c r="S402" t="str">
        <f>IF(F402&gt;=4,"Bulk Order","Normal Order")</f>
        <v>Bulk Order</v>
      </c>
    </row>
    <row r="403" spans="1:19" x14ac:dyDescent="0.3">
      <c r="A403" t="s">
        <v>218</v>
      </c>
      <c r="B403" t="s">
        <v>217</v>
      </c>
      <c r="C403" t="s">
        <v>3</v>
      </c>
      <c r="D403">
        <v>54</v>
      </c>
      <c r="E403" t="s">
        <v>8</v>
      </c>
      <c r="F403">
        <v>1</v>
      </c>
      <c r="G403">
        <v>300.08</v>
      </c>
      <c r="H403" t="s">
        <v>1</v>
      </c>
      <c r="I403" s="1">
        <v>44960</v>
      </c>
      <c r="J403" t="s">
        <v>38</v>
      </c>
      <c r="K403">
        <f>F403*G403</f>
        <v>300.08</v>
      </c>
      <c r="L403" t="str">
        <f>_xlfn.IFS(D403&lt;20,"Below 20",D403&lt;=30,"20-30",D403&lt;=40,"31-40",D403&lt;=50,"41-50",D403&lt;=60,"51-60",TRUE,"60+")</f>
        <v>51-60</v>
      </c>
      <c r="M403" t="str">
        <f>_xlfn.IFS(K403&lt;500,"Low Spend",K403&lt;=2000,"Medium Spend",K403&lt;=5000,"High Spend",TRUE,"Premium Spend")</f>
        <v>Low Spend</v>
      </c>
      <c r="N403" t="str">
        <f>_xlfn.IFS(F403=1,"1 Item",F403&lt;=3,"2-3 Items",F403&lt;=5,"4-5 Items",TRUE,"6+ Items")</f>
        <v>1 Item</v>
      </c>
      <c r="O403" t="str">
        <f>TEXT(I403,"mmm")</f>
        <v>Feb</v>
      </c>
      <c r="P403">
        <f>MONTH(I403)</f>
        <v>2</v>
      </c>
      <c r="Q403">
        <f>YEAR(I403)</f>
        <v>2023</v>
      </c>
      <c r="R403" t="str">
        <f>IF(K403&gt;=5000,"High Value","Regular")</f>
        <v>Regular</v>
      </c>
      <c r="S403" t="str">
        <f>IF(F403&gt;=4,"Bulk Order","Normal Order")</f>
        <v>Normal Order</v>
      </c>
    </row>
    <row r="404" spans="1:19" x14ac:dyDescent="0.3">
      <c r="A404" t="s">
        <v>216</v>
      </c>
      <c r="B404" t="s">
        <v>215</v>
      </c>
      <c r="C404" t="s">
        <v>3</v>
      </c>
      <c r="D404">
        <v>54</v>
      </c>
      <c r="E404" t="s">
        <v>8</v>
      </c>
      <c r="F404">
        <v>5</v>
      </c>
      <c r="G404">
        <v>1500.4</v>
      </c>
      <c r="H404" t="s">
        <v>7</v>
      </c>
      <c r="I404" s="1">
        <v>44880</v>
      </c>
      <c r="J404" t="s">
        <v>97</v>
      </c>
      <c r="K404">
        <f>F404*G404</f>
        <v>7502</v>
      </c>
      <c r="L404" t="str">
        <f>_xlfn.IFS(D404&lt;20,"Below 20",D404&lt;=30,"20-30",D404&lt;=40,"31-40",D404&lt;=50,"41-50",D404&lt;=60,"51-60",TRUE,"60+")</f>
        <v>51-60</v>
      </c>
      <c r="M404" t="str">
        <f>_xlfn.IFS(K404&lt;500,"Low Spend",K404&lt;=2000,"Medium Spend",K404&lt;=5000,"High Spend",TRUE,"Premium Spend")</f>
        <v>Premium Spend</v>
      </c>
      <c r="N404" t="str">
        <f>_xlfn.IFS(F404=1,"1 Item",F404&lt;=3,"2-3 Items",F404&lt;=5,"4-5 Items",TRUE,"6+ Items")</f>
        <v>4-5 Items</v>
      </c>
      <c r="O404" t="str">
        <f>TEXT(I404,"mmm")</f>
        <v>Nov</v>
      </c>
      <c r="P404">
        <f>MONTH(I404)</f>
        <v>11</v>
      </c>
      <c r="Q404">
        <f>YEAR(I404)</f>
        <v>2022</v>
      </c>
      <c r="R404" t="str">
        <f>IF(K404&gt;=5000,"High Value","Regular")</f>
        <v>High Value</v>
      </c>
      <c r="S404" t="str">
        <f>IF(F404&gt;=4,"Bulk Order","Normal Order")</f>
        <v>Bulk Order</v>
      </c>
    </row>
    <row r="405" spans="1:19" x14ac:dyDescent="0.3">
      <c r="A405" t="s">
        <v>214</v>
      </c>
      <c r="B405" t="s">
        <v>213</v>
      </c>
      <c r="C405" t="s">
        <v>12</v>
      </c>
      <c r="D405">
        <v>45</v>
      </c>
      <c r="E405" t="s">
        <v>23</v>
      </c>
      <c r="F405">
        <v>2</v>
      </c>
      <c r="G405">
        <v>23.46</v>
      </c>
      <c r="H405" t="s">
        <v>1</v>
      </c>
      <c r="I405" s="1">
        <v>44406</v>
      </c>
      <c r="J405" t="s">
        <v>0</v>
      </c>
      <c r="K405">
        <f>F405*G405</f>
        <v>46.92</v>
      </c>
      <c r="L405" t="str">
        <f>_xlfn.IFS(D405&lt;20,"Below 20",D405&lt;=30,"20-30",D405&lt;=40,"31-40",D405&lt;=50,"41-50",D405&lt;=60,"51-60",TRUE,"60+")</f>
        <v>41-50</v>
      </c>
      <c r="M405" t="str">
        <f>_xlfn.IFS(K405&lt;500,"Low Spend",K405&lt;=2000,"Medium Spend",K405&lt;=5000,"High Spend",TRUE,"Premium Spend")</f>
        <v>Low Spend</v>
      </c>
      <c r="N405" t="str">
        <f>_xlfn.IFS(F405=1,"1 Item",F405&lt;=3,"2-3 Items",F405&lt;=5,"4-5 Items",TRUE,"6+ Items")</f>
        <v>2-3 Items</v>
      </c>
      <c r="O405" t="str">
        <f>TEXT(I405,"mmm")</f>
        <v>Jul</v>
      </c>
      <c r="P405">
        <f>MONTH(I405)</f>
        <v>7</v>
      </c>
      <c r="Q405">
        <f>YEAR(I405)</f>
        <v>2021</v>
      </c>
      <c r="R405" t="str">
        <f>IF(K405&gt;=5000,"High Value","Regular")</f>
        <v>Regular</v>
      </c>
      <c r="S405" t="str">
        <f>IF(F405&gt;=4,"Bulk Order","Normal Order")</f>
        <v>Normal Order</v>
      </c>
    </row>
    <row r="406" spans="1:19" x14ac:dyDescent="0.3">
      <c r="A406" t="s">
        <v>212</v>
      </c>
      <c r="B406" t="s">
        <v>211</v>
      </c>
      <c r="C406" t="s">
        <v>3</v>
      </c>
      <c r="D406">
        <v>62</v>
      </c>
      <c r="E406" t="s">
        <v>2</v>
      </c>
      <c r="F406">
        <v>4</v>
      </c>
      <c r="G406">
        <v>143.36000000000001</v>
      </c>
      <c r="H406" t="s">
        <v>1</v>
      </c>
      <c r="I406" s="1">
        <v>44394</v>
      </c>
      <c r="J406" t="s">
        <v>28</v>
      </c>
      <c r="K406">
        <f>F406*G406</f>
        <v>573.44000000000005</v>
      </c>
      <c r="L406" t="str">
        <f>_xlfn.IFS(D406&lt;20,"Below 20",D406&lt;=30,"20-30",D406&lt;=40,"31-40",D406&lt;=50,"41-50",D406&lt;=60,"51-60",TRUE,"60+")</f>
        <v>60+</v>
      </c>
      <c r="M406" t="str">
        <f>_xlfn.IFS(K406&lt;500,"Low Spend",K406&lt;=2000,"Medium Spend",K406&lt;=5000,"High Spend",TRUE,"Premium Spend")</f>
        <v>Medium Spend</v>
      </c>
      <c r="N406" t="str">
        <f>_xlfn.IFS(F406=1,"1 Item",F406&lt;=3,"2-3 Items",F406&lt;=5,"4-5 Items",TRUE,"6+ Items")</f>
        <v>4-5 Items</v>
      </c>
      <c r="O406" t="str">
        <f>TEXT(I406,"mmm")</f>
        <v>Jul</v>
      </c>
      <c r="P406">
        <f>MONTH(I406)</f>
        <v>7</v>
      </c>
      <c r="Q406">
        <f>YEAR(I406)</f>
        <v>2021</v>
      </c>
      <c r="R406" t="str">
        <f>IF(K406&gt;=5000,"High Value","Regular")</f>
        <v>Regular</v>
      </c>
      <c r="S406" t="str">
        <f>IF(F406&gt;=4,"Bulk Order","Normal Order")</f>
        <v>Bulk Order</v>
      </c>
    </row>
    <row r="407" spans="1:19" x14ac:dyDescent="0.3">
      <c r="A407" t="s">
        <v>210</v>
      </c>
      <c r="B407" t="s">
        <v>209</v>
      </c>
      <c r="C407" t="s">
        <v>3</v>
      </c>
      <c r="D407">
        <v>18</v>
      </c>
      <c r="E407" t="s">
        <v>8</v>
      </c>
      <c r="F407">
        <v>1</v>
      </c>
      <c r="G407">
        <v>300.08</v>
      </c>
      <c r="H407" t="s">
        <v>1</v>
      </c>
      <c r="I407" s="1">
        <v>44628</v>
      </c>
      <c r="J407" t="s">
        <v>6</v>
      </c>
      <c r="K407">
        <f>F407*G407</f>
        <v>300.08</v>
      </c>
      <c r="L407" t="str">
        <f>_xlfn.IFS(D407&lt;20,"Below 20",D407&lt;=30,"20-30",D407&lt;=40,"31-40",D407&lt;=50,"41-50",D407&lt;=60,"51-60",TRUE,"60+")</f>
        <v>Below 20</v>
      </c>
      <c r="M407" t="str">
        <f>_xlfn.IFS(K407&lt;500,"Low Spend",K407&lt;=2000,"Medium Spend",K407&lt;=5000,"High Spend",TRUE,"Premium Spend")</f>
        <v>Low Spend</v>
      </c>
      <c r="N407" t="str">
        <f>_xlfn.IFS(F407=1,"1 Item",F407&lt;=3,"2-3 Items",F407&lt;=5,"4-5 Items",TRUE,"6+ Items")</f>
        <v>1 Item</v>
      </c>
      <c r="O407" t="str">
        <f>TEXT(I407,"mmm")</f>
        <v>Mar</v>
      </c>
      <c r="P407">
        <f>MONTH(I407)</f>
        <v>3</v>
      </c>
      <c r="Q407">
        <f>YEAR(I407)</f>
        <v>2022</v>
      </c>
      <c r="R407" t="str">
        <f>IF(K407&gt;=5000,"High Value","Regular")</f>
        <v>Regular</v>
      </c>
      <c r="S407" t="str">
        <f>IF(F407&gt;=4,"Bulk Order","Normal Order")</f>
        <v>Normal Order</v>
      </c>
    </row>
    <row r="408" spans="1:19" x14ac:dyDescent="0.3">
      <c r="A408" t="s">
        <v>208</v>
      </c>
      <c r="B408" t="s">
        <v>207</v>
      </c>
      <c r="C408" t="s">
        <v>3</v>
      </c>
      <c r="D408">
        <v>44</v>
      </c>
      <c r="E408" t="s">
        <v>31</v>
      </c>
      <c r="F408">
        <v>5</v>
      </c>
      <c r="G408">
        <v>3000.85</v>
      </c>
      <c r="H408" t="s">
        <v>1</v>
      </c>
      <c r="I408" s="1">
        <v>44826</v>
      </c>
      <c r="J408" t="s">
        <v>107</v>
      </c>
      <c r="K408">
        <f>F408*G408</f>
        <v>15004.25</v>
      </c>
      <c r="L408" t="str">
        <f>_xlfn.IFS(D408&lt;20,"Below 20",D408&lt;=30,"20-30",D408&lt;=40,"31-40",D408&lt;=50,"41-50",D408&lt;=60,"51-60",TRUE,"60+")</f>
        <v>41-50</v>
      </c>
      <c r="M408" t="str">
        <f>_xlfn.IFS(K408&lt;500,"Low Spend",K408&lt;=2000,"Medium Spend",K408&lt;=5000,"High Spend",TRUE,"Premium Spend")</f>
        <v>Premium Spend</v>
      </c>
      <c r="N408" t="str">
        <f>_xlfn.IFS(F408=1,"1 Item",F408&lt;=3,"2-3 Items",F408&lt;=5,"4-5 Items",TRUE,"6+ Items")</f>
        <v>4-5 Items</v>
      </c>
      <c r="O408" t="str">
        <f>TEXT(I408,"mmm")</f>
        <v>Sep</v>
      </c>
      <c r="P408">
        <f>MONTH(I408)</f>
        <v>9</v>
      </c>
      <c r="Q408">
        <f>YEAR(I408)</f>
        <v>2022</v>
      </c>
      <c r="R408" t="str">
        <f>IF(K408&gt;=5000,"High Value","Regular")</f>
        <v>High Value</v>
      </c>
      <c r="S408" t="str">
        <f>IF(F408&gt;=4,"Bulk Order","Normal Order")</f>
        <v>Bulk Order</v>
      </c>
    </row>
    <row r="409" spans="1:19" x14ac:dyDescent="0.3">
      <c r="A409" t="s">
        <v>206</v>
      </c>
      <c r="B409" t="s">
        <v>205</v>
      </c>
      <c r="C409" t="s">
        <v>12</v>
      </c>
      <c r="D409">
        <v>50</v>
      </c>
      <c r="E409" t="s">
        <v>8</v>
      </c>
      <c r="F409">
        <v>1</v>
      </c>
      <c r="G409">
        <v>300.08</v>
      </c>
      <c r="H409" t="s">
        <v>15</v>
      </c>
      <c r="I409" s="1">
        <v>44774</v>
      </c>
      <c r="J409" t="s">
        <v>68</v>
      </c>
      <c r="K409">
        <f>F409*G409</f>
        <v>300.08</v>
      </c>
      <c r="L409" t="str">
        <f>_xlfn.IFS(D409&lt;20,"Below 20",D409&lt;=30,"20-30",D409&lt;=40,"31-40",D409&lt;=50,"41-50",D409&lt;=60,"51-60",TRUE,"60+")</f>
        <v>41-50</v>
      </c>
      <c r="M409" t="str">
        <f>_xlfn.IFS(K409&lt;500,"Low Spend",K409&lt;=2000,"Medium Spend",K409&lt;=5000,"High Spend",TRUE,"Premium Spend")</f>
        <v>Low Spend</v>
      </c>
      <c r="N409" t="str">
        <f>_xlfn.IFS(F409=1,"1 Item",F409&lt;=3,"2-3 Items",F409&lt;=5,"4-5 Items",TRUE,"6+ Items")</f>
        <v>1 Item</v>
      </c>
      <c r="O409" t="str">
        <f>TEXT(I409,"mmm")</f>
        <v>Aug</v>
      </c>
      <c r="P409">
        <f>MONTH(I409)</f>
        <v>8</v>
      </c>
      <c r="Q409">
        <f>YEAR(I409)</f>
        <v>2022</v>
      </c>
      <c r="R409" t="str">
        <f>IF(K409&gt;=5000,"High Value","Regular")</f>
        <v>Regular</v>
      </c>
      <c r="S409" t="str">
        <f>IF(F409&gt;=4,"Bulk Order","Normal Order")</f>
        <v>Normal Order</v>
      </c>
    </row>
    <row r="410" spans="1:19" x14ac:dyDescent="0.3">
      <c r="A410" t="s">
        <v>204</v>
      </c>
      <c r="B410" t="s">
        <v>203</v>
      </c>
      <c r="C410" t="s">
        <v>12</v>
      </c>
      <c r="D410">
        <v>31</v>
      </c>
      <c r="E410" t="s">
        <v>8</v>
      </c>
      <c r="F410">
        <v>5</v>
      </c>
      <c r="G410">
        <v>1500.4</v>
      </c>
      <c r="H410" t="s">
        <v>1</v>
      </c>
      <c r="I410" s="1">
        <v>44289</v>
      </c>
      <c r="J410" t="s">
        <v>0</v>
      </c>
      <c r="K410">
        <f>F410*G410</f>
        <v>7502</v>
      </c>
      <c r="L410" t="str">
        <f>_xlfn.IFS(D410&lt;20,"Below 20",D410&lt;=30,"20-30",D410&lt;=40,"31-40",D410&lt;=50,"41-50",D410&lt;=60,"51-60",TRUE,"60+")</f>
        <v>31-40</v>
      </c>
      <c r="M410" t="str">
        <f>_xlfn.IFS(K410&lt;500,"Low Spend",K410&lt;=2000,"Medium Spend",K410&lt;=5000,"High Spend",TRUE,"Premium Spend")</f>
        <v>Premium Spend</v>
      </c>
      <c r="N410" t="str">
        <f>_xlfn.IFS(F410=1,"1 Item",F410&lt;=3,"2-3 Items",F410&lt;=5,"4-5 Items",TRUE,"6+ Items")</f>
        <v>4-5 Items</v>
      </c>
      <c r="O410" t="str">
        <f>TEXT(I410,"mmm")</f>
        <v>Apr</v>
      </c>
      <c r="P410">
        <f>MONTH(I410)</f>
        <v>4</v>
      </c>
      <c r="Q410">
        <f>YEAR(I410)</f>
        <v>2021</v>
      </c>
      <c r="R410" t="str">
        <f>IF(K410&gt;=5000,"High Value","Regular")</f>
        <v>High Value</v>
      </c>
      <c r="S410" t="str">
        <f>IF(F410&gt;=4,"Bulk Order","Normal Order")</f>
        <v>Bulk Order</v>
      </c>
    </row>
    <row r="411" spans="1:19" x14ac:dyDescent="0.3">
      <c r="A411" t="s">
        <v>202</v>
      </c>
      <c r="B411" t="s">
        <v>201</v>
      </c>
      <c r="C411" t="s">
        <v>12</v>
      </c>
      <c r="D411">
        <v>62</v>
      </c>
      <c r="E411" t="s">
        <v>8</v>
      </c>
      <c r="F411">
        <v>5</v>
      </c>
      <c r="G411">
        <v>1500.4</v>
      </c>
      <c r="H411" t="s">
        <v>15</v>
      </c>
      <c r="I411" s="1">
        <v>44521</v>
      </c>
      <c r="J411" t="s">
        <v>107</v>
      </c>
      <c r="K411">
        <f>F411*G411</f>
        <v>7502</v>
      </c>
      <c r="L411" t="str">
        <f>_xlfn.IFS(D411&lt;20,"Below 20",D411&lt;=30,"20-30",D411&lt;=40,"31-40",D411&lt;=50,"41-50",D411&lt;=60,"51-60",TRUE,"60+")</f>
        <v>60+</v>
      </c>
      <c r="M411" t="str">
        <f>_xlfn.IFS(K411&lt;500,"Low Spend",K411&lt;=2000,"Medium Spend",K411&lt;=5000,"High Spend",TRUE,"Premium Spend")</f>
        <v>Premium Spend</v>
      </c>
      <c r="N411" t="str">
        <f>_xlfn.IFS(F411=1,"1 Item",F411&lt;=3,"2-3 Items",F411&lt;=5,"4-5 Items",TRUE,"6+ Items")</f>
        <v>4-5 Items</v>
      </c>
      <c r="O411" t="str">
        <f>TEXT(I411,"mmm")</f>
        <v>Nov</v>
      </c>
      <c r="P411">
        <f>MONTH(I411)</f>
        <v>11</v>
      </c>
      <c r="Q411">
        <f>YEAR(I411)</f>
        <v>2021</v>
      </c>
      <c r="R411" t="str">
        <f>IF(K411&gt;=5000,"High Value","Regular")</f>
        <v>High Value</v>
      </c>
      <c r="S411" t="str">
        <f>IF(F411&gt;=4,"Bulk Order","Normal Order")</f>
        <v>Bulk Order</v>
      </c>
    </row>
    <row r="412" spans="1:19" x14ac:dyDescent="0.3">
      <c r="A412" t="s">
        <v>200</v>
      </c>
      <c r="B412" t="s">
        <v>199</v>
      </c>
      <c r="C412" t="s">
        <v>3</v>
      </c>
      <c r="D412">
        <v>20</v>
      </c>
      <c r="E412" t="s">
        <v>8</v>
      </c>
      <c r="F412">
        <v>5</v>
      </c>
      <c r="G412">
        <v>1500.4</v>
      </c>
      <c r="H412" t="s">
        <v>7</v>
      </c>
      <c r="I412" s="1">
        <v>44456</v>
      </c>
      <c r="J412" t="s">
        <v>28</v>
      </c>
      <c r="K412">
        <f>F412*G412</f>
        <v>7502</v>
      </c>
      <c r="L412" t="str">
        <f>_xlfn.IFS(D412&lt;20,"Below 20",D412&lt;=30,"20-30",D412&lt;=40,"31-40",D412&lt;=50,"41-50",D412&lt;=60,"51-60",TRUE,"60+")</f>
        <v>20-30</v>
      </c>
      <c r="M412" t="str">
        <f>_xlfn.IFS(K412&lt;500,"Low Spend",K412&lt;=2000,"Medium Spend",K412&lt;=5000,"High Spend",TRUE,"Premium Spend")</f>
        <v>Premium Spend</v>
      </c>
      <c r="N412" t="str">
        <f>_xlfn.IFS(F412=1,"1 Item",F412&lt;=3,"2-3 Items",F412&lt;=5,"4-5 Items",TRUE,"6+ Items")</f>
        <v>4-5 Items</v>
      </c>
      <c r="O412" t="str">
        <f>TEXT(I412,"mmm")</f>
        <v>Sep</v>
      </c>
      <c r="P412">
        <f>MONTH(I412)</f>
        <v>9</v>
      </c>
      <c r="Q412">
        <f>YEAR(I412)</f>
        <v>2021</v>
      </c>
      <c r="R412" t="str">
        <f>IF(K412&gt;=5000,"High Value","Regular")</f>
        <v>High Value</v>
      </c>
      <c r="S412" t="str">
        <f>IF(F412&gt;=4,"Bulk Order","Normal Order")</f>
        <v>Bulk Order</v>
      </c>
    </row>
    <row r="413" spans="1:19" x14ac:dyDescent="0.3">
      <c r="A413" t="s">
        <v>198</v>
      </c>
      <c r="B413" t="s">
        <v>197</v>
      </c>
      <c r="C413" t="s">
        <v>3</v>
      </c>
      <c r="D413">
        <v>65</v>
      </c>
      <c r="E413" t="s">
        <v>61</v>
      </c>
      <c r="F413">
        <v>5</v>
      </c>
      <c r="G413">
        <v>75.75</v>
      </c>
      <c r="H413" t="s">
        <v>15</v>
      </c>
      <c r="I413" s="1">
        <v>44782</v>
      </c>
      <c r="J413" t="s">
        <v>22</v>
      </c>
      <c r="K413">
        <f>F413*G413</f>
        <v>378.75</v>
      </c>
      <c r="L413" t="str">
        <f>_xlfn.IFS(D413&lt;20,"Below 20",D413&lt;=30,"20-30",D413&lt;=40,"31-40",D413&lt;=50,"41-50",D413&lt;=60,"51-60",TRUE,"60+")</f>
        <v>60+</v>
      </c>
      <c r="M413" t="str">
        <f>_xlfn.IFS(K413&lt;500,"Low Spend",K413&lt;=2000,"Medium Spend",K413&lt;=5000,"High Spend",TRUE,"Premium Spend")</f>
        <v>Low Spend</v>
      </c>
      <c r="N413" t="str">
        <f>_xlfn.IFS(F413=1,"1 Item",F413&lt;=3,"2-3 Items",F413&lt;=5,"4-5 Items",TRUE,"6+ Items")</f>
        <v>4-5 Items</v>
      </c>
      <c r="O413" t="str">
        <f>TEXT(I413,"mmm")</f>
        <v>Aug</v>
      </c>
      <c r="P413">
        <f>MONTH(I413)</f>
        <v>8</v>
      </c>
      <c r="Q413">
        <f>YEAR(I413)</f>
        <v>2022</v>
      </c>
      <c r="R413" t="str">
        <f>IF(K413&gt;=5000,"High Value","Regular")</f>
        <v>Regular</v>
      </c>
      <c r="S413" t="str">
        <f>IF(F413&gt;=4,"Bulk Order","Normal Order")</f>
        <v>Bulk Order</v>
      </c>
    </row>
    <row r="414" spans="1:19" x14ac:dyDescent="0.3">
      <c r="A414" t="s">
        <v>196</v>
      </c>
      <c r="B414" t="s">
        <v>195</v>
      </c>
      <c r="C414" t="s">
        <v>3</v>
      </c>
      <c r="D414">
        <v>63</v>
      </c>
      <c r="E414" t="s">
        <v>23</v>
      </c>
      <c r="F414">
        <v>1</v>
      </c>
      <c r="G414">
        <v>11.73</v>
      </c>
      <c r="H414" t="s">
        <v>15</v>
      </c>
      <c r="I414" s="1">
        <v>44447</v>
      </c>
      <c r="J414" t="s">
        <v>11</v>
      </c>
      <c r="K414">
        <f>F414*G414</f>
        <v>11.73</v>
      </c>
      <c r="L414" t="str">
        <f>_xlfn.IFS(D414&lt;20,"Below 20",D414&lt;=30,"20-30",D414&lt;=40,"31-40",D414&lt;=50,"41-50",D414&lt;=60,"51-60",TRUE,"60+")</f>
        <v>60+</v>
      </c>
      <c r="M414" t="str">
        <f>_xlfn.IFS(K414&lt;500,"Low Spend",K414&lt;=2000,"Medium Spend",K414&lt;=5000,"High Spend",TRUE,"Premium Spend")</f>
        <v>Low Spend</v>
      </c>
      <c r="N414" t="str">
        <f>_xlfn.IFS(F414=1,"1 Item",F414&lt;=3,"2-3 Items",F414&lt;=5,"4-5 Items",TRUE,"6+ Items")</f>
        <v>1 Item</v>
      </c>
      <c r="O414" t="str">
        <f>TEXT(I414,"mmm")</f>
        <v>Sep</v>
      </c>
      <c r="P414">
        <f>MONTH(I414)</f>
        <v>9</v>
      </c>
      <c r="Q414">
        <f>YEAR(I414)</f>
        <v>2021</v>
      </c>
      <c r="R414" t="str">
        <f>IF(K414&gt;=5000,"High Value","Regular")</f>
        <v>Regular</v>
      </c>
      <c r="S414" t="str">
        <f>IF(F414&gt;=4,"Bulk Order","Normal Order")</f>
        <v>Normal Order</v>
      </c>
    </row>
    <row r="415" spans="1:19" x14ac:dyDescent="0.3">
      <c r="A415" t="s">
        <v>194</v>
      </c>
      <c r="B415" t="s">
        <v>193</v>
      </c>
      <c r="C415" t="s">
        <v>3</v>
      </c>
      <c r="D415">
        <v>57</v>
      </c>
      <c r="E415" t="s">
        <v>16</v>
      </c>
      <c r="F415">
        <v>4</v>
      </c>
      <c r="G415">
        <v>20.92</v>
      </c>
      <c r="H415" t="s">
        <v>15</v>
      </c>
      <c r="I415" s="1">
        <v>44477</v>
      </c>
      <c r="J415" t="s">
        <v>22</v>
      </c>
      <c r="K415">
        <f>F415*G415</f>
        <v>83.68</v>
      </c>
      <c r="L415" t="str">
        <f>_xlfn.IFS(D415&lt;20,"Below 20",D415&lt;=30,"20-30",D415&lt;=40,"31-40",D415&lt;=50,"41-50",D415&lt;=60,"51-60",TRUE,"60+")</f>
        <v>51-60</v>
      </c>
      <c r="M415" t="str">
        <f>_xlfn.IFS(K415&lt;500,"Low Spend",K415&lt;=2000,"Medium Spend",K415&lt;=5000,"High Spend",TRUE,"Premium Spend")</f>
        <v>Low Spend</v>
      </c>
      <c r="N415" t="str">
        <f>_xlfn.IFS(F415=1,"1 Item",F415&lt;=3,"2-3 Items",F415&lt;=5,"4-5 Items",TRUE,"6+ Items")</f>
        <v>4-5 Items</v>
      </c>
      <c r="O415" t="str">
        <f>TEXT(I415,"mmm")</f>
        <v>Oct</v>
      </c>
      <c r="P415">
        <f>MONTH(I415)</f>
        <v>10</v>
      </c>
      <c r="Q415">
        <f>YEAR(I415)</f>
        <v>2021</v>
      </c>
      <c r="R415" t="str">
        <f>IF(K415&gt;=5000,"High Value","Regular")</f>
        <v>Regular</v>
      </c>
      <c r="S415" t="str">
        <f>IF(F415&gt;=4,"Bulk Order","Normal Order")</f>
        <v>Bulk Order</v>
      </c>
    </row>
    <row r="416" spans="1:19" x14ac:dyDescent="0.3">
      <c r="A416" t="s">
        <v>192</v>
      </c>
      <c r="B416" t="s">
        <v>191</v>
      </c>
      <c r="C416" t="s">
        <v>3</v>
      </c>
      <c r="D416">
        <v>59</v>
      </c>
      <c r="E416" t="s">
        <v>8</v>
      </c>
      <c r="F416">
        <v>1</v>
      </c>
      <c r="G416">
        <v>300.08</v>
      </c>
      <c r="H416" t="s">
        <v>7</v>
      </c>
      <c r="I416" s="1">
        <v>44258</v>
      </c>
      <c r="J416" t="s">
        <v>68</v>
      </c>
      <c r="K416">
        <f>F416*G416</f>
        <v>300.08</v>
      </c>
      <c r="L416" t="str">
        <f>_xlfn.IFS(D416&lt;20,"Below 20",D416&lt;=30,"20-30",D416&lt;=40,"31-40",D416&lt;=50,"41-50",D416&lt;=60,"51-60",TRUE,"60+")</f>
        <v>51-60</v>
      </c>
      <c r="M416" t="str">
        <f>_xlfn.IFS(K416&lt;500,"Low Spend",K416&lt;=2000,"Medium Spend",K416&lt;=5000,"High Spend",TRUE,"Premium Spend")</f>
        <v>Low Spend</v>
      </c>
      <c r="N416" t="str">
        <f>_xlfn.IFS(F416=1,"1 Item",F416&lt;=3,"2-3 Items",F416&lt;=5,"4-5 Items",TRUE,"6+ Items")</f>
        <v>1 Item</v>
      </c>
      <c r="O416" t="str">
        <f>TEXT(I416,"mmm")</f>
        <v>Mar</v>
      </c>
      <c r="P416">
        <f>MONTH(I416)</f>
        <v>3</v>
      </c>
      <c r="Q416">
        <f>YEAR(I416)</f>
        <v>2021</v>
      </c>
      <c r="R416" t="str">
        <f>IF(K416&gt;=5000,"High Value","Regular")</f>
        <v>Regular</v>
      </c>
      <c r="S416" t="str">
        <f>IF(F416&gt;=4,"Bulk Order","Normal Order")</f>
        <v>Normal Order</v>
      </c>
    </row>
    <row r="417" spans="1:19" x14ac:dyDescent="0.3">
      <c r="A417" t="s">
        <v>190</v>
      </c>
      <c r="B417" t="s">
        <v>189</v>
      </c>
      <c r="C417" t="s">
        <v>3</v>
      </c>
      <c r="D417">
        <v>44</v>
      </c>
      <c r="E417" t="s">
        <v>8</v>
      </c>
      <c r="F417">
        <v>4</v>
      </c>
      <c r="G417">
        <v>1200.32</v>
      </c>
      <c r="H417" t="s">
        <v>7</v>
      </c>
      <c r="I417" s="1">
        <v>44556</v>
      </c>
      <c r="J417" t="s">
        <v>107</v>
      </c>
      <c r="K417">
        <f>F417*G417</f>
        <v>4801.28</v>
      </c>
      <c r="L417" t="str">
        <f>_xlfn.IFS(D417&lt;20,"Below 20",D417&lt;=30,"20-30",D417&lt;=40,"31-40",D417&lt;=50,"41-50",D417&lt;=60,"51-60",TRUE,"60+")</f>
        <v>41-50</v>
      </c>
      <c r="M417" t="str">
        <f>_xlfn.IFS(K417&lt;500,"Low Spend",K417&lt;=2000,"Medium Spend",K417&lt;=5000,"High Spend",TRUE,"Premium Spend")</f>
        <v>High Spend</v>
      </c>
      <c r="N417" t="str">
        <f>_xlfn.IFS(F417=1,"1 Item",F417&lt;=3,"2-3 Items",F417&lt;=5,"4-5 Items",TRUE,"6+ Items")</f>
        <v>4-5 Items</v>
      </c>
      <c r="O417" t="str">
        <f>TEXT(I417,"mmm")</f>
        <v>Dec</v>
      </c>
      <c r="P417">
        <f>MONTH(I417)</f>
        <v>12</v>
      </c>
      <c r="Q417">
        <f>YEAR(I417)</f>
        <v>2021</v>
      </c>
      <c r="R417" t="str">
        <f>IF(K417&gt;=5000,"High Value","Regular")</f>
        <v>Regular</v>
      </c>
      <c r="S417" t="str">
        <f>IF(F417&gt;=4,"Bulk Order","Normal Order")</f>
        <v>Bulk Order</v>
      </c>
    </row>
    <row r="418" spans="1:19" x14ac:dyDescent="0.3">
      <c r="A418" t="s">
        <v>188</v>
      </c>
      <c r="B418" t="s">
        <v>187</v>
      </c>
      <c r="C418" t="s">
        <v>3</v>
      </c>
      <c r="D418">
        <v>63</v>
      </c>
      <c r="E418" t="s">
        <v>19</v>
      </c>
      <c r="F418">
        <v>5</v>
      </c>
      <c r="G418">
        <v>203.3</v>
      </c>
      <c r="H418" t="s">
        <v>1</v>
      </c>
      <c r="I418" s="1">
        <v>44970</v>
      </c>
      <c r="J418" t="s">
        <v>68</v>
      </c>
      <c r="K418">
        <f>F418*G418</f>
        <v>1016.5</v>
      </c>
      <c r="L418" t="str">
        <f>_xlfn.IFS(D418&lt;20,"Below 20",D418&lt;=30,"20-30",D418&lt;=40,"31-40",D418&lt;=50,"41-50",D418&lt;=60,"51-60",TRUE,"60+")</f>
        <v>60+</v>
      </c>
      <c r="M418" t="str">
        <f>_xlfn.IFS(K418&lt;500,"Low Spend",K418&lt;=2000,"Medium Spend",K418&lt;=5000,"High Spend",TRUE,"Premium Spend")</f>
        <v>Medium Spend</v>
      </c>
      <c r="N418" t="str">
        <f>_xlfn.IFS(F418=1,"1 Item",F418&lt;=3,"2-3 Items",F418&lt;=5,"4-5 Items",TRUE,"6+ Items")</f>
        <v>4-5 Items</v>
      </c>
      <c r="O418" t="str">
        <f>TEXT(I418,"mmm")</f>
        <v>Feb</v>
      </c>
      <c r="P418">
        <f>MONTH(I418)</f>
        <v>2</v>
      </c>
      <c r="Q418">
        <f>YEAR(I418)</f>
        <v>2023</v>
      </c>
      <c r="R418" t="str">
        <f>IF(K418&gt;=5000,"High Value","Regular")</f>
        <v>Regular</v>
      </c>
      <c r="S418" t="str">
        <f>IF(F418&gt;=4,"Bulk Order","Normal Order")</f>
        <v>Bulk Order</v>
      </c>
    </row>
    <row r="419" spans="1:19" x14ac:dyDescent="0.3">
      <c r="A419" t="s">
        <v>186</v>
      </c>
      <c r="B419" t="s">
        <v>185</v>
      </c>
      <c r="C419" t="s">
        <v>12</v>
      </c>
      <c r="D419">
        <v>65</v>
      </c>
      <c r="E419" t="s">
        <v>8</v>
      </c>
      <c r="F419">
        <v>4</v>
      </c>
      <c r="G419">
        <v>1200.32</v>
      </c>
      <c r="H419" t="s">
        <v>15</v>
      </c>
      <c r="I419" s="1">
        <v>44381</v>
      </c>
      <c r="J419" t="s">
        <v>102</v>
      </c>
      <c r="K419">
        <f>F419*G419</f>
        <v>4801.28</v>
      </c>
      <c r="L419" t="str">
        <f>_xlfn.IFS(D419&lt;20,"Below 20",D419&lt;=30,"20-30",D419&lt;=40,"31-40",D419&lt;=50,"41-50",D419&lt;=60,"51-60",TRUE,"60+")</f>
        <v>60+</v>
      </c>
      <c r="M419" t="str">
        <f>_xlfn.IFS(K419&lt;500,"Low Spend",K419&lt;=2000,"Medium Spend",K419&lt;=5000,"High Spend",TRUE,"Premium Spend")</f>
        <v>High Spend</v>
      </c>
      <c r="N419" t="str">
        <f>_xlfn.IFS(F419=1,"1 Item",F419&lt;=3,"2-3 Items",F419&lt;=5,"4-5 Items",TRUE,"6+ Items")</f>
        <v>4-5 Items</v>
      </c>
      <c r="O419" t="str">
        <f>TEXT(I419,"mmm")</f>
        <v>Jul</v>
      </c>
      <c r="P419">
        <f>MONTH(I419)</f>
        <v>7</v>
      </c>
      <c r="Q419">
        <f>YEAR(I419)</f>
        <v>2021</v>
      </c>
      <c r="R419" t="str">
        <f>IF(K419&gt;=5000,"High Value","Regular")</f>
        <v>Regular</v>
      </c>
      <c r="S419" t="str">
        <f>IF(F419&gt;=4,"Bulk Order","Normal Order")</f>
        <v>Bulk Order</v>
      </c>
    </row>
    <row r="420" spans="1:19" x14ac:dyDescent="0.3">
      <c r="A420" t="s">
        <v>184</v>
      </c>
      <c r="B420" t="s">
        <v>183</v>
      </c>
      <c r="C420" t="s">
        <v>3</v>
      </c>
      <c r="D420">
        <v>68</v>
      </c>
      <c r="E420" t="s">
        <v>8</v>
      </c>
      <c r="F420">
        <v>1</v>
      </c>
      <c r="G420">
        <v>300.08</v>
      </c>
      <c r="H420" t="s">
        <v>15</v>
      </c>
      <c r="I420" s="1">
        <v>44222</v>
      </c>
      <c r="J420" t="s">
        <v>0</v>
      </c>
      <c r="K420">
        <f>F420*G420</f>
        <v>300.08</v>
      </c>
      <c r="L420" t="str">
        <f>_xlfn.IFS(D420&lt;20,"Below 20",D420&lt;=30,"20-30",D420&lt;=40,"31-40",D420&lt;=50,"41-50",D420&lt;=60,"51-60",TRUE,"60+")</f>
        <v>60+</v>
      </c>
      <c r="M420" t="str">
        <f>_xlfn.IFS(K420&lt;500,"Low Spend",K420&lt;=2000,"Medium Spend",K420&lt;=5000,"High Spend",TRUE,"Premium Spend")</f>
        <v>Low Spend</v>
      </c>
      <c r="N420" t="str">
        <f>_xlfn.IFS(F420=1,"1 Item",F420&lt;=3,"2-3 Items",F420&lt;=5,"4-5 Items",TRUE,"6+ Items")</f>
        <v>1 Item</v>
      </c>
      <c r="O420" t="str">
        <f>TEXT(I420,"mmm")</f>
        <v>Jan</v>
      </c>
      <c r="P420">
        <f>MONTH(I420)</f>
        <v>1</v>
      </c>
      <c r="Q420">
        <f>YEAR(I420)</f>
        <v>2021</v>
      </c>
      <c r="R420" t="str">
        <f>IF(K420&gt;=5000,"High Value","Regular")</f>
        <v>Regular</v>
      </c>
      <c r="S420" t="str">
        <f>IF(F420&gt;=4,"Bulk Order","Normal Order")</f>
        <v>Normal Order</v>
      </c>
    </row>
    <row r="421" spans="1:19" x14ac:dyDescent="0.3">
      <c r="A421" t="s">
        <v>182</v>
      </c>
      <c r="B421" t="s">
        <v>181</v>
      </c>
      <c r="C421" t="s">
        <v>3</v>
      </c>
      <c r="D421">
        <v>21</v>
      </c>
      <c r="E421" t="s">
        <v>16</v>
      </c>
      <c r="F421">
        <v>2</v>
      </c>
      <c r="G421">
        <v>10.46</v>
      </c>
      <c r="H421" t="s">
        <v>7</v>
      </c>
      <c r="I421" s="1">
        <v>44839</v>
      </c>
      <c r="J421" t="s">
        <v>68</v>
      </c>
      <c r="K421">
        <f>F421*G421</f>
        <v>20.92</v>
      </c>
      <c r="L421" t="str">
        <f>_xlfn.IFS(D421&lt;20,"Below 20",D421&lt;=30,"20-30",D421&lt;=40,"31-40",D421&lt;=50,"41-50",D421&lt;=60,"51-60",TRUE,"60+")</f>
        <v>20-30</v>
      </c>
      <c r="M421" t="str">
        <f>_xlfn.IFS(K421&lt;500,"Low Spend",K421&lt;=2000,"Medium Spend",K421&lt;=5000,"High Spend",TRUE,"Premium Spend")</f>
        <v>Low Spend</v>
      </c>
      <c r="N421" t="str">
        <f>_xlfn.IFS(F421=1,"1 Item",F421&lt;=3,"2-3 Items",F421&lt;=5,"4-5 Items",TRUE,"6+ Items")</f>
        <v>2-3 Items</v>
      </c>
      <c r="O421" t="str">
        <f>TEXT(I421,"mmm")</f>
        <v>Oct</v>
      </c>
      <c r="P421">
        <f>MONTH(I421)</f>
        <v>10</v>
      </c>
      <c r="Q421">
        <f>YEAR(I421)</f>
        <v>2022</v>
      </c>
      <c r="R421" t="str">
        <f>IF(K421&gt;=5000,"High Value","Regular")</f>
        <v>Regular</v>
      </c>
      <c r="S421" t="str">
        <f>IF(F421&gt;=4,"Bulk Order","Normal Order")</f>
        <v>Normal Order</v>
      </c>
    </row>
    <row r="422" spans="1:19" x14ac:dyDescent="0.3">
      <c r="A422" t="s">
        <v>180</v>
      </c>
      <c r="B422" t="s">
        <v>179</v>
      </c>
      <c r="C422" t="s">
        <v>3</v>
      </c>
      <c r="D422">
        <v>33</v>
      </c>
      <c r="E422" t="s">
        <v>61</v>
      </c>
      <c r="F422">
        <v>5</v>
      </c>
      <c r="G422">
        <v>75.75</v>
      </c>
      <c r="H422" t="s">
        <v>1</v>
      </c>
      <c r="I422" s="1">
        <v>44291</v>
      </c>
      <c r="J422" t="s">
        <v>22</v>
      </c>
      <c r="K422">
        <f>F422*G422</f>
        <v>378.75</v>
      </c>
      <c r="L422" t="str">
        <f>_xlfn.IFS(D422&lt;20,"Below 20",D422&lt;=30,"20-30",D422&lt;=40,"31-40",D422&lt;=50,"41-50",D422&lt;=60,"51-60",TRUE,"60+")</f>
        <v>31-40</v>
      </c>
      <c r="M422" t="str">
        <f>_xlfn.IFS(K422&lt;500,"Low Spend",K422&lt;=2000,"Medium Spend",K422&lt;=5000,"High Spend",TRUE,"Premium Spend")</f>
        <v>Low Spend</v>
      </c>
      <c r="N422" t="str">
        <f>_xlfn.IFS(F422=1,"1 Item",F422&lt;=3,"2-3 Items",F422&lt;=5,"4-5 Items",TRUE,"6+ Items")</f>
        <v>4-5 Items</v>
      </c>
      <c r="O422" t="str">
        <f>TEXT(I422,"mmm")</f>
        <v>Apr</v>
      </c>
      <c r="P422">
        <f>MONTH(I422)</f>
        <v>4</v>
      </c>
      <c r="Q422">
        <f>YEAR(I422)</f>
        <v>2021</v>
      </c>
      <c r="R422" t="str">
        <f>IF(K422&gt;=5000,"High Value","Regular")</f>
        <v>Regular</v>
      </c>
      <c r="S422" t="str">
        <f>IF(F422&gt;=4,"Bulk Order","Normal Order")</f>
        <v>Bulk Order</v>
      </c>
    </row>
    <row r="423" spans="1:19" x14ac:dyDescent="0.3">
      <c r="A423" t="s">
        <v>178</v>
      </c>
      <c r="B423" t="s">
        <v>177</v>
      </c>
      <c r="C423" t="s">
        <v>3</v>
      </c>
      <c r="D423">
        <v>23</v>
      </c>
      <c r="E423" t="s">
        <v>23</v>
      </c>
      <c r="F423">
        <v>2</v>
      </c>
      <c r="G423">
        <v>23.46</v>
      </c>
      <c r="H423" t="s">
        <v>15</v>
      </c>
      <c r="I423" s="1">
        <v>44282</v>
      </c>
      <c r="J423" t="s">
        <v>11</v>
      </c>
      <c r="K423">
        <f>F423*G423</f>
        <v>46.92</v>
      </c>
      <c r="L423" t="str">
        <f>_xlfn.IFS(D423&lt;20,"Below 20",D423&lt;=30,"20-30",D423&lt;=40,"31-40",D423&lt;=50,"41-50",D423&lt;=60,"51-60",TRUE,"60+")</f>
        <v>20-30</v>
      </c>
      <c r="M423" t="str">
        <f>_xlfn.IFS(K423&lt;500,"Low Spend",K423&lt;=2000,"Medium Spend",K423&lt;=5000,"High Spend",TRUE,"Premium Spend")</f>
        <v>Low Spend</v>
      </c>
      <c r="N423" t="str">
        <f>_xlfn.IFS(F423=1,"1 Item",F423&lt;=3,"2-3 Items",F423&lt;=5,"4-5 Items",TRUE,"6+ Items")</f>
        <v>2-3 Items</v>
      </c>
      <c r="O423" t="str">
        <f>TEXT(I423,"mmm")</f>
        <v>Mar</v>
      </c>
      <c r="P423">
        <f>MONTH(I423)</f>
        <v>3</v>
      </c>
      <c r="Q423">
        <f>YEAR(I423)</f>
        <v>2021</v>
      </c>
      <c r="R423" t="str">
        <f>IF(K423&gt;=5000,"High Value","Regular")</f>
        <v>Regular</v>
      </c>
      <c r="S423" t="str">
        <f>IF(F423&gt;=4,"Bulk Order","Normal Order")</f>
        <v>Normal Order</v>
      </c>
    </row>
    <row r="424" spans="1:19" x14ac:dyDescent="0.3">
      <c r="A424" t="s">
        <v>176</v>
      </c>
      <c r="B424" t="s">
        <v>175</v>
      </c>
      <c r="C424" t="s">
        <v>3</v>
      </c>
      <c r="D424">
        <v>49</v>
      </c>
      <c r="E424" t="s">
        <v>23</v>
      </c>
      <c r="F424">
        <v>5</v>
      </c>
      <c r="G424">
        <v>58.65</v>
      </c>
      <c r="H424" t="s">
        <v>15</v>
      </c>
      <c r="I424" s="1">
        <v>44886</v>
      </c>
      <c r="J424" t="s">
        <v>22</v>
      </c>
      <c r="K424">
        <f>F424*G424</f>
        <v>293.25</v>
      </c>
      <c r="L424" t="str">
        <f>_xlfn.IFS(D424&lt;20,"Below 20",D424&lt;=30,"20-30",D424&lt;=40,"31-40",D424&lt;=50,"41-50",D424&lt;=60,"51-60",TRUE,"60+")</f>
        <v>41-50</v>
      </c>
      <c r="M424" t="str">
        <f>_xlfn.IFS(K424&lt;500,"Low Spend",K424&lt;=2000,"Medium Spend",K424&lt;=5000,"High Spend",TRUE,"Premium Spend")</f>
        <v>Low Spend</v>
      </c>
      <c r="N424" t="str">
        <f>_xlfn.IFS(F424=1,"1 Item",F424&lt;=3,"2-3 Items",F424&lt;=5,"4-5 Items",TRUE,"6+ Items")</f>
        <v>4-5 Items</v>
      </c>
      <c r="O424" t="str">
        <f>TEXT(I424,"mmm")</f>
        <v>Nov</v>
      </c>
      <c r="P424">
        <f>MONTH(I424)</f>
        <v>11</v>
      </c>
      <c r="Q424">
        <f>YEAR(I424)</f>
        <v>2022</v>
      </c>
      <c r="R424" t="str">
        <f>IF(K424&gt;=5000,"High Value","Regular")</f>
        <v>Regular</v>
      </c>
      <c r="S424" t="str">
        <f>IF(F424&gt;=4,"Bulk Order","Normal Order")</f>
        <v>Bulk Order</v>
      </c>
    </row>
    <row r="425" spans="1:19" x14ac:dyDescent="0.3">
      <c r="A425" t="s">
        <v>174</v>
      </c>
      <c r="B425" t="s">
        <v>173</v>
      </c>
      <c r="C425" t="s">
        <v>12</v>
      </c>
      <c r="D425">
        <v>57</v>
      </c>
      <c r="E425" t="s">
        <v>31</v>
      </c>
      <c r="F425">
        <v>2</v>
      </c>
      <c r="G425">
        <v>1200.3399999999999</v>
      </c>
      <c r="H425" t="s">
        <v>1</v>
      </c>
      <c r="I425" s="1">
        <v>44613</v>
      </c>
      <c r="J425" t="s">
        <v>68</v>
      </c>
      <c r="K425">
        <f>F425*G425</f>
        <v>2400.6799999999998</v>
      </c>
      <c r="L425" t="str">
        <f>_xlfn.IFS(D425&lt;20,"Below 20",D425&lt;=30,"20-30",D425&lt;=40,"31-40",D425&lt;=50,"41-50",D425&lt;=60,"51-60",TRUE,"60+")</f>
        <v>51-60</v>
      </c>
      <c r="M425" t="str">
        <f>_xlfn.IFS(K425&lt;500,"Low Spend",K425&lt;=2000,"Medium Spend",K425&lt;=5000,"High Spend",TRUE,"Premium Spend")</f>
        <v>High Spend</v>
      </c>
      <c r="N425" t="str">
        <f>_xlfn.IFS(F425=1,"1 Item",F425&lt;=3,"2-3 Items",F425&lt;=5,"4-5 Items",TRUE,"6+ Items")</f>
        <v>2-3 Items</v>
      </c>
      <c r="O425" t="str">
        <f>TEXT(I425,"mmm")</f>
        <v>Feb</v>
      </c>
      <c r="P425">
        <f>MONTH(I425)</f>
        <v>2</v>
      </c>
      <c r="Q425">
        <f>YEAR(I425)</f>
        <v>2022</v>
      </c>
      <c r="R425" t="str">
        <f>IF(K425&gt;=5000,"High Value","Regular")</f>
        <v>Regular</v>
      </c>
      <c r="S425" t="str">
        <f>IF(F425&gt;=4,"Bulk Order","Normal Order")</f>
        <v>Normal Order</v>
      </c>
    </row>
    <row r="426" spans="1:19" x14ac:dyDescent="0.3">
      <c r="A426" t="s">
        <v>172</v>
      </c>
      <c r="B426" t="s">
        <v>171</v>
      </c>
      <c r="C426" t="s">
        <v>3</v>
      </c>
      <c r="D426">
        <v>54</v>
      </c>
      <c r="E426" t="s">
        <v>2</v>
      </c>
      <c r="F426">
        <v>4</v>
      </c>
      <c r="G426">
        <v>143.36000000000001</v>
      </c>
      <c r="H426" t="s">
        <v>1</v>
      </c>
      <c r="I426" s="1">
        <v>44795</v>
      </c>
      <c r="J426" t="s">
        <v>28</v>
      </c>
      <c r="K426">
        <f>F426*G426</f>
        <v>573.44000000000005</v>
      </c>
      <c r="L426" t="str">
        <f>_xlfn.IFS(D426&lt;20,"Below 20",D426&lt;=30,"20-30",D426&lt;=40,"31-40",D426&lt;=50,"41-50",D426&lt;=60,"51-60",TRUE,"60+")</f>
        <v>51-60</v>
      </c>
      <c r="M426" t="str">
        <f>_xlfn.IFS(K426&lt;500,"Low Spend",K426&lt;=2000,"Medium Spend",K426&lt;=5000,"High Spend",TRUE,"Premium Spend")</f>
        <v>Medium Spend</v>
      </c>
      <c r="N426" t="str">
        <f>_xlfn.IFS(F426=1,"1 Item",F426&lt;=3,"2-3 Items",F426&lt;=5,"4-5 Items",TRUE,"6+ Items")</f>
        <v>4-5 Items</v>
      </c>
      <c r="O426" t="str">
        <f>TEXT(I426,"mmm")</f>
        <v>Aug</v>
      </c>
      <c r="P426">
        <f>MONTH(I426)</f>
        <v>8</v>
      </c>
      <c r="Q426">
        <f>YEAR(I426)</f>
        <v>2022</v>
      </c>
      <c r="R426" t="str">
        <f>IF(K426&gt;=5000,"High Value","Regular")</f>
        <v>Regular</v>
      </c>
      <c r="S426" t="str">
        <f>IF(F426&gt;=4,"Bulk Order","Normal Order")</f>
        <v>Bulk Order</v>
      </c>
    </row>
    <row r="427" spans="1:19" x14ac:dyDescent="0.3">
      <c r="A427" t="s">
        <v>170</v>
      </c>
      <c r="B427" t="s">
        <v>169</v>
      </c>
      <c r="C427" t="s">
        <v>3</v>
      </c>
      <c r="D427">
        <v>41</v>
      </c>
      <c r="E427" t="s">
        <v>19</v>
      </c>
      <c r="F427">
        <v>3</v>
      </c>
      <c r="G427">
        <v>121.98</v>
      </c>
      <c r="H427" t="s">
        <v>1</v>
      </c>
      <c r="I427" s="1">
        <v>44901</v>
      </c>
      <c r="J427" t="s">
        <v>38</v>
      </c>
      <c r="K427">
        <f>F427*G427</f>
        <v>365.94</v>
      </c>
      <c r="L427" t="str">
        <f>_xlfn.IFS(D427&lt;20,"Below 20",D427&lt;=30,"20-30",D427&lt;=40,"31-40",D427&lt;=50,"41-50",D427&lt;=60,"51-60",TRUE,"60+")</f>
        <v>41-50</v>
      </c>
      <c r="M427" t="str">
        <f>_xlfn.IFS(K427&lt;500,"Low Spend",K427&lt;=2000,"Medium Spend",K427&lt;=5000,"High Spend",TRUE,"Premium Spend")</f>
        <v>Low Spend</v>
      </c>
      <c r="N427" t="str">
        <f>_xlfn.IFS(F427=1,"1 Item",F427&lt;=3,"2-3 Items",F427&lt;=5,"4-5 Items",TRUE,"6+ Items")</f>
        <v>2-3 Items</v>
      </c>
      <c r="O427" t="str">
        <f>TEXT(I427,"mmm")</f>
        <v>Dec</v>
      </c>
      <c r="P427">
        <f>MONTH(I427)</f>
        <v>12</v>
      </c>
      <c r="Q427">
        <f>YEAR(I427)</f>
        <v>2022</v>
      </c>
      <c r="R427" t="str">
        <f>IF(K427&gt;=5000,"High Value","Regular")</f>
        <v>Regular</v>
      </c>
      <c r="S427" t="str">
        <f>IF(F427&gt;=4,"Bulk Order","Normal Order")</f>
        <v>Normal Order</v>
      </c>
    </row>
    <row r="428" spans="1:19" x14ac:dyDescent="0.3">
      <c r="A428" t="s">
        <v>168</v>
      </c>
      <c r="B428" t="s">
        <v>167</v>
      </c>
      <c r="C428" t="s">
        <v>3</v>
      </c>
      <c r="D428">
        <v>21</v>
      </c>
      <c r="E428" t="s">
        <v>31</v>
      </c>
      <c r="F428">
        <v>3</v>
      </c>
      <c r="G428">
        <v>1800.51</v>
      </c>
      <c r="H428" t="s">
        <v>15</v>
      </c>
      <c r="I428" s="1">
        <v>44280</v>
      </c>
      <c r="J428" t="s">
        <v>28</v>
      </c>
      <c r="K428">
        <f>F428*G428</f>
        <v>5401.53</v>
      </c>
      <c r="L428" t="str">
        <f>_xlfn.IFS(D428&lt;20,"Below 20",D428&lt;=30,"20-30",D428&lt;=40,"31-40",D428&lt;=50,"41-50",D428&lt;=60,"51-60",TRUE,"60+")</f>
        <v>20-30</v>
      </c>
      <c r="M428" t="str">
        <f>_xlfn.IFS(K428&lt;500,"Low Spend",K428&lt;=2000,"Medium Spend",K428&lt;=5000,"High Spend",TRUE,"Premium Spend")</f>
        <v>Premium Spend</v>
      </c>
      <c r="N428" t="str">
        <f>_xlfn.IFS(F428=1,"1 Item",F428&lt;=3,"2-3 Items",F428&lt;=5,"4-5 Items",TRUE,"6+ Items")</f>
        <v>2-3 Items</v>
      </c>
      <c r="O428" t="str">
        <f>TEXT(I428,"mmm")</f>
        <v>Mar</v>
      </c>
      <c r="P428">
        <f>MONTH(I428)</f>
        <v>3</v>
      </c>
      <c r="Q428">
        <f>YEAR(I428)</f>
        <v>2021</v>
      </c>
      <c r="R428" t="str">
        <f>IF(K428&gt;=5000,"High Value","Regular")</f>
        <v>High Value</v>
      </c>
      <c r="S428" t="str">
        <f>IF(F428&gt;=4,"Bulk Order","Normal Order")</f>
        <v>Normal Order</v>
      </c>
    </row>
    <row r="429" spans="1:19" x14ac:dyDescent="0.3">
      <c r="A429" t="s">
        <v>166</v>
      </c>
      <c r="B429" t="s">
        <v>165</v>
      </c>
      <c r="C429" t="s">
        <v>3</v>
      </c>
      <c r="D429">
        <v>45</v>
      </c>
      <c r="E429" t="s">
        <v>2</v>
      </c>
      <c r="F429">
        <v>1</v>
      </c>
      <c r="G429">
        <v>35.840000000000003</v>
      </c>
      <c r="H429" t="s">
        <v>7</v>
      </c>
      <c r="I429" s="1">
        <v>44260</v>
      </c>
      <c r="J429" t="s">
        <v>28</v>
      </c>
      <c r="K429">
        <f>F429*G429</f>
        <v>35.840000000000003</v>
      </c>
      <c r="L429" t="str">
        <f>_xlfn.IFS(D429&lt;20,"Below 20",D429&lt;=30,"20-30",D429&lt;=40,"31-40",D429&lt;=50,"41-50",D429&lt;=60,"51-60",TRUE,"60+")</f>
        <v>41-50</v>
      </c>
      <c r="M429" t="str">
        <f>_xlfn.IFS(K429&lt;500,"Low Spend",K429&lt;=2000,"Medium Spend",K429&lt;=5000,"High Spend",TRUE,"Premium Spend")</f>
        <v>Low Spend</v>
      </c>
      <c r="N429" t="str">
        <f>_xlfn.IFS(F429=1,"1 Item",F429&lt;=3,"2-3 Items",F429&lt;=5,"4-5 Items",TRUE,"6+ Items")</f>
        <v>1 Item</v>
      </c>
      <c r="O429" t="str">
        <f>TEXT(I429,"mmm")</f>
        <v>Mar</v>
      </c>
      <c r="P429">
        <f>MONTH(I429)</f>
        <v>3</v>
      </c>
      <c r="Q429">
        <f>YEAR(I429)</f>
        <v>2021</v>
      </c>
      <c r="R429" t="str">
        <f>IF(K429&gt;=5000,"High Value","Regular")</f>
        <v>Regular</v>
      </c>
      <c r="S429" t="str">
        <f>IF(F429&gt;=4,"Bulk Order","Normal Order")</f>
        <v>Normal Order</v>
      </c>
    </row>
    <row r="430" spans="1:19" x14ac:dyDescent="0.3">
      <c r="A430" t="s">
        <v>164</v>
      </c>
      <c r="B430" t="s">
        <v>163</v>
      </c>
      <c r="C430" t="s">
        <v>3</v>
      </c>
      <c r="D430">
        <v>58</v>
      </c>
      <c r="E430" t="s">
        <v>31</v>
      </c>
      <c r="F430">
        <v>3</v>
      </c>
      <c r="G430">
        <v>1800.51</v>
      </c>
      <c r="H430" t="s">
        <v>1</v>
      </c>
      <c r="I430" s="1">
        <v>44410</v>
      </c>
      <c r="J430" t="s">
        <v>28</v>
      </c>
      <c r="K430">
        <f>F430*G430</f>
        <v>5401.53</v>
      </c>
      <c r="L430" t="str">
        <f>_xlfn.IFS(D430&lt;20,"Below 20",D430&lt;=30,"20-30",D430&lt;=40,"31-40",D430&lt;=50,"41-50",D430&lt;=60,"51-60",TRUE,"60+")</f>
        <v>51-60</v>
      </c>
      <c r="M430" t="str">
        <f>_xlfn.IFS(K430&lt;500,"Low Spend",K430&lt;=2000,"Medium Spend",K430&lt;=5000,"High Spend",TRUE,"Premium Spend")</f>
        <v>Premium Spend</v>
      </c>
      <c r="N430" t="str">
        <f>_xlfn.IFS(F430=1,"1 Item",F430&lt;=3,"2-3 Items",F430&lt;=5,"4-5 Items",TRUE,"6+ Items")</f>
        <v>2-3 Items</v>
      </c>
      <c r="O430" t="str">
        <f>TEXT(I430,"mmm")</f>
        <v>Aug</v>
      </c>
      <c r="P430">
        <f>MONTH(I430)</f>
        <v>8</v>
      </c>
      <c r="Q430">
        <f>YEAR(I430)</f>
        <v>2021</v>
      </c>
      <c r="R430" t="str">
        <f>IF(K430&gt;=5000,"High Value","Regular")</f>
        <v>High Value</v>
      </c>
      <c r="S430" t="str">
        <f>IF(F430&gt;=4,"Bulk Order","Normal Order")</f>
        <v>Normal Order</v>
      </c>
    </row>
    <row r="431" spans="1:19" x14ac:dyDescent="0.3">
      <c r="A431" t="s">
        <v>162</v>
      </c>
      <c r="B431" t="s">
        <v>161</v>
      </c>
      <c r="C431" t="s">
        <v>12</v>
      </c>
      <c r="D431">
        <v>53</v>
      </c>
      <c r="E431" t="s">
        <v>16</v>
      </c>
      <c r="F431">
        <v>4</v>
      </c>
      <c r="G431">
        <v>20.92</v>
      </c>
      <c r="H431" t="s">
        <v>15</v>
      </c>
      <c r="I431" s="1">
        <v>44302</v>
      </c>
      <c r="J431" t="s">
        <v>22</v>
      </c>
      <c r="K431">
        <f>F431*G431</f>
        <v>83.68</v>
      </c>
      <c r="L431" t="str">
        <f>_xlfn.IFS(D431&lt;20,"Below 20",D431&lt;=30,"20-30",D431&lt;=40,"31-40",D431&lt;=50,"41-50",D431&lt;=60,"51-60",TRUE,"60+")</f>
        <v>51-60</v>
      </c>
      <c r="M431" t="str">
        <f>_xlfn.IFS(K431&lt;500,"Low Spend",K431&lt;=2000,"Medium Spend",K431&lt;=5000,"High Spend",TRUE,"Premium Spend")</f>
        <v>Low Spend</v>
      </c>
      <c r="N431" t="str">
        <f>_xlfn.IFS(F431=1,"1 Item",F431&lt;=3,"2-3 Items",F431&lt;=5,"4-5 Items",TRUE,"6+ Items")</f>
        <v>4-5 Items</v>
      </c>
      <c r="O431" t="str">
        <f>TEXT(I431,"mmm")</f>
        <v>Apr</v>
      </c>
      <c r="P431">
        <f>MONTH(I431)</f>
        <v>4</v>
      </c>
      <c r="Q431">
        <f>YEAR(I431)</f>
        <v>2021</v>
      </c>
      <c r="R431" t="str">
        <f>IF(K431&gt;=5000,"High Value","Regular")</f>
        <v>Regular</v>
      </c>
      <c r="S431" t="str">
        <f>IF(F431&gt;=4,"Bulk Order","Normal Order")</f>
        <v>Bulk Order</v>
      </c>
    </row>
    <row r="432" spans="1:19" x14ac:dyDescent="0.3">
      <c r="A432" t="s">
        <v>160</v>
      </c>
      <c r="B432" t="s">
        <v>159</v>
      </c>
      <c r="C432" t="s">
        <v>3</v>
      </c>
      <c r="D432">
        <v>53</v>
      </c>
      <c r="E432" t="s">
        <v>8</v>
      </c>
      <c r="F432">
        <v>5</v>
      </c>
      <c r="G432">
        <v>1500.4</v>
      </c>
      <c r="H432" t="s">
        <v>1</v>
      </c>
      <c r="I432" s="1">
        <v>44960</v>
      </c>
      <c r="J432" t="s">
        <v>38</v>
      </c>
      <c r="K432">
        <f>F432*G432</f>
        <v>7502</v>
      </c>
      <c r="L432" t="str">
        <f>_xlfn.IFS(D432&lt;20,"Below 20",D432&lt;=30,"20-30",D432&lt;=40,"31-40",D432&lt;=50,"41-50",D432&lt;=60,"51-60",TRUE,"60+")</f>
        <v>51-60</v>
      </c>
      <c r="M432" t="str">
        <f>_xlfn.IFS(K432&lt;500,"Low Spend",K432&lt;=2000,"Medium Spend",K432&lt;=5000,"High Spend",TRUE,"Premium Spend")</f>
        <v>Premium Spend</v>
      </c>
      <c r="N432" t="str">
        <f>_xlfn.IFS(F432=1,"1 Item",F432&lt;=3,"2-3 Items",F432&lt;=5,"4-5 Items",TRUE,"6+ Items")</f>
        <v>4-5 Items</v>
      </c>
      <c r="O432" t="str">
        <f>TEXT(I432,"mmm")</f>
        <v>Feb</v>
      </c>
      <c r="P432">
        <f>MONTH(I432)</f>
        <v>2</v>
      </c>
      <c r="Q432">
        <f>YEAR(I432)</f>
        <v>2023</v>
      </c>
      <c r="R432" t="str">
        <f>IF(K432&gt;=5000,"High Value","Regular")</f>
        <v>High Value</v>
      </c>
      <c r="S432" t="str">
        <f>IF(F432&gt;=4,"Bulk Order","Normal Order")</f>
        <v>Bulk Order</v>
      </c>
    </row>
    <row r="433" spans="1:19" x14ac:dyDescent="0.3">
      <c r="A433" t="s">
        <v>158</v>
      </c>
      <c r="B433" t="s">
        <v>157</v>
      </c>
      <c r="C433" t="s">
        <v>12</v>
      </c>
      <c r="D433">
        <v>39</v>
      </c>
      <c r="E433" t="s">
        <v>16</v>
      </c>
      <c r="F433">
        <v>5</v>
      </c>
      <c r="G433">
        <v>26.15</v>
      </c>
      <c r="H433" t="s">
        <v>7</v>
      </c>
      <c r="I433" s="1">
        <v>44687</v>
      </c>
      <c r="J433" t="s">
        <v>28</v>
      </c>
      <c r="K433">
        <f>F433*G433</f>
        <v>130.75</v>
      </c>
      <c r="L433" t="str">
        <f>_xlfn.IFS(D433&lt;20,"Below 20",D433&lt;=30,"20-30",D433&lt;=40,"31-40",D433&lt;=50,"41-50",D433&lt;=60,"51-60",TRUE,"60+")</f>
        <v>31-40</v>
      </c>
      <c r="M433" t="str">
        <f>_xlfn.IFS(K433&lt;500,"Low Spend",K433&lt;=2000,"Medium Spend",K433&lt;=5000,"High Spend",TRUE,"Premium Spend")</f>
        <v>Low Spend</v>
      </c>
      <c r="N433" t="str">
        <f>_xlfn.IFS(F433=1,"1 Item",F433&lt;=3,"2-3 Items",F433&lt;=5,"4-5 Items",TRUE,"6+ Items")</f>
        <v>4-5 Items</v>
      </c>
      <c r="O433" t="str">
        <f>TEXT(I433,"mmm")</f>
        <v>May</v>
      </c>
      <c r="P433">
        <f>MONTH(I433)</f>
        <v>5</v>
      </c>
      <c r="Q433">
        <f>YEAR(I433)</f>
        <v>2022</v>
      </c>
      <c r="R433" t="str">
        <f>IF(K433&gt;=5000,"High Value","Regular")</f>
        <v>Regular</v>
      </c>
      <c r="S433" t="str">
        <f>IF(F433&gt;=4,"Bulk Order","Normal Order")</f>
        <v>Bulk Order</v>
      </c>
    </row>
    <row r="434" spans="1:19" x14ac:dyDescent="0.3">
      <c r="A434" t="s">
        <v>156</v>
      </c>
      <c r="B434" t="s">
        <v>155</v>
      </c>
      <c r="C434" t="s">
        <v>3</v>
      </c>
      <c r="D434">
        <v>21</v>
      </c>
      <c r="E434" t="s">
        <v>31</v>
      </c>
      <c r="F434">
        <v>1</v>
      </c>
      <c r="G434">
        <v>600.16999999999996</v>
      </c>
      <c r="H434" t="s">
        <v>15</v>
      </c>
      <c r="I434" s="1">
        <v>44597</v>
      </c>
      <c r="J434" t="s">
        <v>22</v>
      </c>
      <c r="K434">
        <f>F434*G434</f>
        <v>600.16999999999996</v>
      </c>
      <c r="L434" t="str">
        <f>_xlfn.IFS(D434&lt;20,"Below 20",D434&lt;=30,"20-30",D434&lt;=40,"31-40",D434&lt;=50,"41-50",D434&lt;=60,"51-60",TRUE,"60+")</f>
        <v>20-30</v>
      </c>
      <c r="M434" t="str">
        <f>_xlfn.IFS(K434&lt;500,"Low Spend",K434&lt;=2000,"Medium Spend",K434&lt;=5000,"High Spend",TRUE,"Premium Spend")</f>
        <v>Medium Spend</v>
      </c>
      <c r="N434" t="str">
        <f>_xlfn.IFS(F434=1,"1 Item",F434&lt;=3,"2-3 Items",F434&lt;=5,"4-5 Items",TRUE,"6+ Items")</f>
        <v>1 Item</v>
      </c>
      <c r="O434" t="str">
        <f>TEXT(I434,"mmm")</f>
        <v>Feb</v>
      </c>
      <c r="P434">
        <f>MONTH(I434)</f>
        <v>2</v>
      </c>
      <c r="Q434">
        <f>YEAR(I434)</f>
        <v>2022</v>
      </c>
      <c r="R434" t="str">
        <f>IF(K434&gt;=5000,"High Value","Regular")</f>
        <v>Regular</v>
      </c>
      <c r="S434" t="str">
        <f>IF(F434&gt;=4,"Bulk Order","Normal Order")</f>
        <v>Normal Order</v>
      </c>
    </row>
    <row r="435" spans="1:19" x14ac:dyDescent="0.3">
      <c r="A435" t="s">
        <v>154</v>
      </c>
      <c r="B435" t="s">
        <v>153</v>
      </c>
      <c r="C435" t="s">
        <v>3</v>
      </c>
      <c r="D435">
        <v>51</v>
      </c>
      <c r="E435" t="s">
        <v>2</v>
      </c>
      <c r="F435">
        <v>1</v>
      </c>
      <c r="G435">
        <v>35.840000000000003</v>
      </c>
      <c r="H435" t="s">
        <v>1</v>
      </c>
      <c r="I435" s="1">
        <v>44896</v>
      </c>
      <c r="J435" t="s">
        <v>22</v>
      </c>
      <c r="K435">
        <f>F435*G435</f>
        <v>35.840000000000003</v>
      </c>
      <c r="L435" t="str">
        <f>_xlfn.IFS(D435&lt;20,"Below 20",D435&lt;=30,"20-30",D435&lt;=40,"31-40",D435&lt;=50,"41-50",D435&lt;=60,"51-60",TRUE,"60+")</f>
        <v>51-60</v>
      </c>
      <c r="M435" t="str">
        <f>_xlfn.IFS(K435&lt;500,"Low Spend",K435&lt;=2000,"Medium Spend",K435&lt;=5000,"High Spend",TRUE,"Premium Spend")</f>
        <v>Low Spend</v>
      </c>
      <c r="N435" t="str">
        <f>_xlfn.IFS(F435=1,"1 Item",F435&lt;=3,"2-3 Items",F435&lt;=5,"4-5 Items",TRUE,"6+ Items")</f>
        <v>1 Item</v>
      </c>
      <c r="O435" t="str">
        <f>TEXT(I435,"mmm")</f>
        <v>Dec</v>
      </c>
      <c r="P435">
        <f>MONTH(I435)</f>
        <v>12</v>
      </c>
      <c r="Q435">
        <f>YEAR(I435)</f>
        <v>2022</v>
      </c>
      <c r="R435" t="str">
        <f>IF(K435&gt;=5000,"High Value","Regular")</f>
        <v>Regular</v>
      </c>
      <c r="S435" t="str">
        <f>IF(F435&gt;=4,"Bulk Order","Normal Order")</f>
        <v>Normal Order</v>
      </c>
    </row>
    <row r="436" spans="1:19" x14ac:dyDescent="0.3">
      <c r="A436" t="s">
        <v>152</v>
      </c>
      <c r="B436" t="s">
        <v>151</v>
      </c>
      <c r="C436" t="s">
        <v>12</v>
      </c>
      <c r="D436">
        <v>50</v>
      </c>
      <c r="E436" t="s">
        <v>8</v>
      </c>
      <c r="F436">
        <v>2</v>
      </c>
      <c r="G436">
        <v>600.16</v>
      </c>
      <c r="H436" t="s">
        <v>7</v>
      </c>
      <c r="I436" s="1">
        <v>44546</v>
      </c>
      <c r="J436" t="s">
        <v>38</v>
      </c>
      <c r="K436">
        <f>F436*G436</f>
        <v>1200.32</v>
      </c>
      <c r="L436" t="str">
        <f>_xlfn.IFS(D436&lt;20,"Below 20",D436&lt;=30,"20-30",D436&lt;=40,"31-40",D436&lt;=50,"41-50",D436&lt;=60,"51-60",TRUE,"60+")</f>
        <v>41-50</v>
      </c>
      <c r="M436" t="str">
        <f>_xlfn.IFS(K436&lt;500,"Low Spend",K436&lt;=2000,"Medium Spend",K436&lt;=5000,"High Spend",TRUE,"Premium Spend")</f>
        <v>Medium Spend</v>
      </c>
      <c r="N436" t="str">
        <f>_xlfn.IFS(F436=1,"1 Item",F436&lt;=3,"2-3 Items",F436&lt;=5,"4-5 Items",TRUE,"6+ Items")</f>
        <v>2-3 Items</v>
      </c>
      <c r="O436" t="str">
        <f>TEXT(I436,"mmm")</f>
        <v>Dec</v>
      </c>
      <c r="P436">
        <f>MONTH(I436)</f>
        <v>12</v>
      </c>
      <c r="Q436">
        <f>YEAR(I436)</f>
        <v>2021</v>
      </c>
      <c r="R436" t="str">
        <f>IF(K436&gt;=5000,"High Value","Regular")</f>
        <v>Regular</v>
      </c>
      <c r="S436" t="str">
        <f>IF(F436&gt;=4,"Bulk Order","Normal Order")</f>
        <v>Normal Order</v>
      </c>
    </row>
    <row r="437" spans="1:19" x14ac:dyDescent="0.3">
      <c r="A437" t="s">
        <v>150</v>
      </c>
      <c r="B437" t="s">
        <v>149</v>
      </c>
      <c r="C437" t="s">
        <v>3</v>
      </c>
      <c r="D437">
        <v>50</v>
      </c>
      <c r="E437" t="s">
        <v>19</v>
      </c>
      <c r="F437">
        <v>4</v>
      </c>
      <c r="G437">
        <v>162.63999999999999</v>
      </c>
      <c r="H437" t="s">
        <v>15</v>
      </c>
      <c r="I437" s="1">
        <v>44932</v>
      </c>
      <c r="J437" t="s">
        <v>22</v>
      </c>
      <c r="K437">
        <f>F437*G437</f>
        <v>650.55999999999995</v>
      </c>
      <c r="L437" t="str">
        <f>_xlfn.IFS(D437&lt;20,"Below 20",D437&lt;=30,"20-30",D437&lt;=40,"31-40",D437&lt;=50,"41-50",D437&lt;=60,"51-60",TRUE,"60+")</f>
        <v>41-50</v>
      </c>
      <c r="M437" t="str">
        <f>_xlfn.IFS(K437&lt;500,"Low Spend",K437&lt;=2000,"Medium Spend",K437&lt;=5000,"High Spend",TRUE,"Premium Spend")</f>
        <v>Medium Spend</v>
      </c>
      <c r="N437" t="str">
        <f>_xlfn.IFS(F437=1,"1 Item",F437&lt;=3,"2-3 Items",F437&lt;=5,"4-5 Items",TRUE,"6+ Items")</f>
        <v>4-5 Items</v>
      </c>
      <c r="O437" t="str">
        <f>TEXT(I437,"mmm")</f>
        <v>Jan</v>
      </c>
      <c r="P437">
        <f>MONTH(I437)</f>
        <v>1</v>
      </c>
      <c r="Q437">
        <f>YEAR(I437)</f>
        <v>2023</v>
      </c>
      <c r="R437" t="str">
        <f>IF(K437&gt;=5000,"High Value","Regular")</f>
        <v>Regular</v>
      </c>
      <c r="S437" t="str">
        <f>IF(F437&gt;=4,"Bulk Order","Normal Order")</f>
        <v>Bulk Order</v>
      </c>
    </row>
    <row r="438" spans="1:19" x14ac:dyDescent="0.3">
      <c r="A438" t="s">
        <v>148</v>
      </c>
      <c r="B438" t="s">
        <v>147</v>
      </c>
      <c r="C438" t="s">
        <v>12</v>
      </c>
      <c r="D438">
        <v>61</v>
      </c>
      <c r="E438" t="s">
        <v>16</v>
      </c>
      <c r="F438">
        <v>3</v>
      </c>
      <c r="G438">
        <v>15.69</v>
      </c>
      <c r="H438" t="s">
        <v>15</v>
      </c>
      <c r="I438" s="1">
        <v>44538</v>
      </c>
      <c r="J438" t="s">
        <v>28</v>
      </c>
      <c r="K438">
        <f>F438*G438</f>
        <v>47.07</v>
      </c>
      <c r="L438" t="str">
        <f>_xlfn.IFS(D438&lt;20,"Below 20",D438&lt;=30,"20-30",D438&lt;=40,"31-40",D438&lt;=50,"41-50",D438&lt;=60,"51-60",TRUE,"60+")</f>
        <v>60+</v>
      </c>
      <c r="M438" t="str">
        <f>_xlfn.IFS(K438&lt;500,"Low Spend",K438&lt;=2000,"Medium Spend",K438&lt;=5000,"High Spend",TRUE,"Premium Spend")</f>
        <v>Low Spend</v>
      </c>
      <c r="N438" t="str">
        <f>_xlfn.IFS(F438=1,"1 Item",F438&lt;=3,"2-3 Items",F438&lt;=5,"4-5 Items",TRUE,"6+ Items")</f>
        <v>2-3 Items</v>
      </c>
      <c r="O438" t="str">
        <f>TEXT(I438,"mmm")</f>
        <v>Dec</v>
      </c>
      <c r="P438">
        <f>MONTH(I438)</f>
        <v>12</v>
      </c>
      <c r="Q438">
        <f>YEAR(I438)</f>
        <v>2021</v>
      </c>
      <c r="R438" t="str">
        <f>IF(K438&gt;=5000,"High Value","Regular")</f>
        <v>Regular</v>
      </c>
      <c r="S438" t="str">
        <f>IF(F438&gt;=4,"Bulk Order","Normal Order")</f>
        <v>Normal Order</v>
      </c>
    </row>
    <row r="439" spans="1:19" x14ac:dyDescent="0.3">
      <c r="A439" t="s">
        <v>146</v>
      </c>
      <c r="B439" t="s">
        <v>145</v>
      </c>
      <c r="C439" t="s">
        <v>12</v>
      </c>
      <c r="D439">
        <v>44</v>
      </c>
      <c r="E439" t="s">
        <v>16</v>
      </c>
      <c r="F439">
        <v>5</v>
      </c>
      <c r="G439">
        <v>26.15</v>
      </c>
      <c r="H439" t="s">
        <v>1</v>
      </c>
      <c r="I439" s="1">
        <v>44250</v>
      </c>
      <c r="J439" t="s">
        <v>22</v>
      </c>
      <c r="K439">
        <f>F439*G439</f>
        <v>130.75</v>
      </c>
      <c r="L439" t="str">
        <f>_xlfn.IFS(D439&lt;20,"Below 20",D439&lt;=30,"20-30",D439&lt;=40,"31-40",D439&lt;=50,"41-50",D439&lt;=60,"51-60",TRUE,"60+")</f>
        <v>41-50</v>
      </c>
      <c r="M439" t="str">
        <f>_xlfn.IFS(K439&lt;500,"Low Spend",K439&lt;=2000,"Medium Spend",K439&lt;=5000,"High Spend",TRUE,"Premium Spend")</f>
        <v>Low Spend</v>
      </c>
      <c r="N439" t="str">
        <f>_xlfn.IFS(F439=1,"1 Item",F439&lt;=3,"2-3 Items",F439&lt;=5,"4-5 Items",TRUE,"6+ Items")</f>
        <v>4-5 Items</v>
      </c>
      <c r="O439" t="str">
        <f>TEXT(I439,"mmm")</f>
        <v>Feb</v>
      </c>
      <c r="P439">
        <f>MONTH(I439)</f>
        <v>2</v>
      </c>
      <c r="Q439">
        <f>YEAR(I439)</f>
        <v>2021</v>
      </c>
      <c r="R439" t="str">
        <f>IF(K439&gt;=5000,"High Value","Regular")</f>
        <v>Regular</v>
      </c>
      <c r="S439" t="str">
        <f>IF(F439&gt;=4,"Bulk Order","Normal Order")</f>
        <v>Bulk Order</v>
      </c>
    </row>
    <row r="440" spans="1:19" x14ac:dyDescent="0.3">
      <c r="A440" t="s">
        <v>144</v>
      </c>
      <c r="B440" t="s">
        <v>143</v>
      </c>
      <c r="C440" t="s">
        <v>3</v>
      </c>
      <c r="D440">
        <v>31</v>
      </c>
      <c r="E440" t="s">
        <v>23</v>
      </c>
      <c r="F440">
        <v>4</v>
      </c>
      <c r="G440">
        <v>46.92</v>
      </c>
      <c r="H440" t="s">
        <v>7</v>
      </c>
      <c r="I440" s="1">
        <v>44568</v>
      </c>
      <c r="J440" t="s">
        <v>0</v>
      </c>
      <c r="K440">
        <f>F440*G440</f>
        <v>187.68</v>
      </c>
      <c r="L440" t="str">
        <f>_xlfn.IFS(D440&lt;20,"Below 20",D440&lt;=30,"20-30",D440&lt;=40,"31-40",D440&lt;=50,"41-50",D440&lt;=60,"51-60",TRUE,"60+")</f>
        <v>31-40</v>
      </c>
      <c r="M440" t="str">
        <f>_xlfn.IFS(K440&lt;500,"Low Spend",K440&lt;=2000,"Medium Spend",K440&lt;=5000,"High Spend",TRUE,"Premium Spend")</f>
        <v>Low Spend</v>
      </c>
      <c r="N440" t="str">
        <f>_xlfn.IFS(F440=1,"1 Item",F440&lt;=3,"2-3 Items",F440&lt;=5,"4-5 Items",TRUE,"6+ Items")</f>
        <v>4-5 Items</v>
      </c>
      <c r="O440" t="str">
        <f>TEXT(I440,"mmm")</f>
        <v>Jan</v>
      </c>
      <c r="P440">
        <f>MONTH(I440)</f>
        <v>1</v>
      </c>
      <c r="Q440">
        <f>YEAR(I440)</f>
        <v>2022</v>
      </c>
      <c r="R440" t="str">
        <f>IF(K440&gt;=5000,"High Value","Regular")</f>
        <v>Regular</v>
      </c>
      <c r="S440" t="str">
        <f>IF(F440&gt;=4,"Bulk Order","Normal Order")</f>
        <v>Bulk Order</v>
      </c>
    </row>
    <row r="441" spans="1:19" x14ac:dyDescent="0.3">
      <c r="A441" t="s">
        <v>142</v>
      </c>
      <c r="B441" t="s">
        <v>141</v>
      </c>
      <c r="C441" t="s">
        <v>12</v>
      </c>
      <c r="D441">
        <v>64</v>
      </c>
      <c r="E441" t="s">
        <v>16</v>
      </c>
      <c r="F441">
        <v>1</v>
      </c>
      <c r="G441">
        <v>5.23</v>
      </c>
      <c r="H441" t="s">
        <v>1</v>
      </c>
      <c r="I441" s="1">
        <v>44606</v>
      </c>
      <c r="J441" t="s">
        <v>28</v>
      </c>
      <c r="K441">
        <f>F441*G441</f>
        <v>5.23</v>
      </c>
      <c r="L441" t="str">
        <f>_xlfn.IFS(D441&lt;20,"Below 20",D441&lt;=30,"20-30",D441&lt;=40,"31-40",D441&lt;=50,"41-50",D441&lt;=60,"51-60",TRUE,"60+")</f>
        <v>60+</v>
      </c>
      <c r="M441" t="str">
        <f>_xlfn.IFS(K441&lt;500,"Low Spend",K441&lt;=2000,"Medium Spend",K441&lt;=5000,"High Spend",TRUE,"Premium Spend")</f>
        <v>Low Spend</v>
      </c>
      <c r="N441" t="str">
        <f>_xlfn.IFS(F441=1,"1 Item",F441&lt;=3,"2-3 Items",F441&lt;=5,"4-5 Items",TRUE,"6+ Items")</f>
        <v>1 Item</v>
      </c>
      <c r="O441" t="str">
        <f>TEXT(I441,"mmm")</f>
        <v>Feb</v>
      </c>
      <c r="P441">
        <f>MONTH(I441)</f>
        <v>2</v>
      </c>
      <c r="Q441">
        <f>YEAR(I441)</f>
        <v>2022</v>
      </c>
      <c r="R441" t="str">
        <f>IF(K441&gt;=5000,"High Value","Regular")</f>
        <v>Regular</v>
      </c>
      <c r="S441" t="str">
        <f>IF(F441&gt;=4,"Bulk Order","Normal Order")</f>
        <v>Normal Order</v>
      </c>
    </row>
    <row r="442" spans="1:19" x14ac:dyDescent="0.3">
      <c r="A442" t="s">
        <v>140</v>
      </c>
      <c r="B442" t="s">
        <v>139</v>
      </c>
      <c r="C442" t="s">
        <v>12</v>
      </c>
      <c r="D442">
        <v>50</v>
      </c>
      <c r="E442" t="s">
        <v>8</v>
      </c>
      <c r="F442">
        <v>2</v>
      </c>
      <c r="G442">
        <v>600.16</v>
      </c>
      <c r="H442" t="s">
        <v>1</v>
      </c>
      <c r="I442" s="1">
        <v>44701</v>
      </c>
      <c r="J442" t="s">
        <v>6</v>
      </c>
      <c r="K442">
        <f>F442*G442</f>
        <v>1200.32</v>
      </c>
      <c r="L442" t="str">
        <f>_xlfn.IFS(D442&lt;20,"Below 20",D442&lt;=30,"20-30",D442&lt;=40,"31-40",D442&lt;=50,"41-50",D442&lt;=60,"51-60",TRUE,"60+")</f>
        <v>41-50</v>
      </c>
      <c r="M442" t="str">
        <f>_xlfn.IFS(K442&lt;500,"Low Spend",K442&lt;=2000,"Medium Spend",K442&lt;=5000,"High Spend",TRUE,"Premium Spend")</f>
        <v>Medium Spend</v>
      </c>
      <c r="N442" t="str">
        <f>_xlfn.IFS(F442=1,"1 Item",F442&lt;=3,"2-3 Items",F442&lt;=5,"4-5 Items",TRUE,"6+ Items")</f>
        <v>2-3 Items</v>
      </c>
      <c r="O442" t="str">
        <f>TEXT(I442,"mmm")</f>
        <v>May</v>
      </c>
      <c r="P442">
        <f>MONTH(I442)</f>
        <v>5</v>
      </c>
      <c r="Q442">
        <f>YEAR(I442)</f>
        <v>2022</v>
      </c>
      <c r="R442" t="str">
        <f>IF(K442&gt;=5000,"High Value","Regular")</f>
        <v>Regular</v>
      </c>
      <c r="S442" t="str">
        <f>IF(F442&gt;=4,"Bulk Order","Normal Order")</f>
        <v>Normal Order</v>
      </c>
    </row>
    <row r="443" spans="1:19" x14ac:dyDescent="0.3">
      <c r="A443" t="s">
        <v>138</v>
      </c>
      <c r="B443" t="s">
        <v>137</v>
      </c>
      <c r="C443" t="s">
        <v>12</v>
      </c>
      <c r="D443">
        <v>45</v>
      </c>
      <c r="E443" t="s">
        <v>8</v>
      </c>
      <c r="F443">
        <v>1</v>
      </c>
      <c r="G443">
        <v>300.08</v>
      </c>
      <c r="H443" t="s">
        <v>1</v>
      </c>
      <c r="I443" s="1">
        <v>44484</v>
      </c>
      <c r="J443" t="s">
        <v>0</v>
      </c>
      <c r="K443">
        <f>F443*G443</f>
        <v>300.08</v>
      </c>
      <c r="L443" t="str">
        <f>_xlfn.IFS(D443&lt;20,"Below 20",D443&lt;=30,"20-30",D443&lt;=40,"31-40",D443&lt;=50,"41-50",D443&lt;=60,"51-60",TRUE,"60+")</f>
        <v>41-50</v>
      </c>
      <c r="M443" t="str">
        <f>_xlfn.IFS(K443&lt;500,"Low Spend",K443&lt;=2000,"Medium Spend",K443&lt;=5000,"High Spend",TRUE,"Premium Spend")</f>
        <v>Low Spend</v>
      </c>
      <c r="N443" t="str">
        <f>_xlfn.IFS(F443=1,"1 Item",F443&lt;=3,"2-3 Items",F443&lt;=5,"4-5 Items",TRUE,"6+ Items")</f>
        <v>1 Item</v>
      </c>
      <c r="O443" t="str">
        <f>TEXT(I443,"mmm")</f>
        <v>Oct</v>
      </c>
      <c r="P443">
        <f>MONTH(I443)</f>
        <v>10</v>
      </c>
      <c r="Q443">
        <f>YEAR(I443)</f>
        <v>2021</v>
      </c>
      <c r="R443" t="str">
        <f>IF(K443&gt;=5000,"High Value","Regular")</f>
        <v>Regular</v>
      </c>
      <c r="S443" t="str">
        <f>IF(F443&gt;=4,"Bulk Order","Normal Order")</f>
        <v>Normal Order</v>
      </c>
    </row>
    <row r="444" spans="1:19" x14ac:dyDescent="0.3">
      <c r="A444" t="s">
        <v>136</v>
      </c>
      <c r="B444" t="s">
        <v>135</v>
      </c>
      <c r="C444" t="s">
        <v>3</v>
      </c>
      <c r="D444">
        <v>29</v>
      </c>
      <c r="E444" t="s">
        <v>112</v>
      </c>
      <c r="F444">
        <v>4</v>
      </c>
      <c r="G444">
        <v>4200</v>
      </c>
      <c r="H444" t="s">
        <v>7</v>
      </c>
      <c r="I444" s="1">
        <v>44959</v>
      </c>
      <c r="J444" t="s">
        <v>28</v>
      </c>
      <c r="K444">
        <f>F444*G444</f>
        <v>16800</v>
      </c>
      <c r="L444" t="str">
        <f>_xlfn.IFS(D444&lt;20,"Below 20",D444&lt;=30,"20-30",D444&lt;=40,"31-40",D444&lt;=50,"41-50",D444&lt;=60,"51-60",TRUE,"60+")</f>
        <v>20-30</v>
      </c>
      <c r="M444" t="str">
        <f>_xlfn.IFS(K444&lt;500,"Low Spend",K444&lt;=2000,"Medium Spend",K444&lt;=5000,"High Spend",TRUE,"Premium Spend")</f>
        <v>Premium Spend</v>
      </c>
      <c r="N444" t="str">
        <f>_xlfn.IFS(F444=1,"1 Item",F444&lt;=3,"2-3 Items",F444&lt;=5,"4-5 Items",TRUE,"6+ Items")</f>
        <v>4-5 Items</v>
      </c>
      <c r="O444" t="str">
        <f>TEXT(I444,"mmm")</f>
        <v>Feb</v>
      </c>
      <c r="P444">
        <f>MONTH(I444)</f>
        <v>2</v>
      </c>
      <c r="Q444">
        <f>YEAR(I444)</f>
        <v>2023</v>
      </c>
      <c r="R444" t="str">
        <f>IF(K444&gt;=5000,"High Value","Regular")</f>
        <v>High Value</v>
      </c>
      <c r="S444" t="str">
        <f>IF(F444&gt;=4,"Bulk Order","Normal Order")</f>
        <v>Bulk Order</v>
      </c>
    </row>
    <row r="445" spans="1:19" x14ac:dyDescent="0.3">
      <c r="A445" t="s">
        <v>134</v>
      </c>
      <c r="B445" t="s">
        <v>133</v>
      </c>
      <c r="C445" t="s">
        <v>3</v>
      </c>
      <c r="D445">
        <v>33</v>
      </c>
      <c r="E445" t="s">
        <v>8</v>
      </c>
      <c r="F445">
        <v>1</v>
      </c>
      <c r="G445">
        <v>300.08</v>
      </c>
      <c r="H445" t="s">
        <v>15</v>
      </c>
      <c r="I445" s="1">
        <v>44509</v>
      </c>
      <c r="J445" t="s">
        <v>22</v>
      </c>
      <c r="K445">
        <f>F445*G445</f>
        <v>300.08</v>
      </c>
      <c r="L445" t="str">
        <f>_xlfn.IFS(D445&lt;20,"Below 20",D445&lt;=30,"20-30",D445&lt;=40,"31-40",D445&lt;=50,"41-50",D445&lt;=60,"51-60",TRUE,"60+")</f>
        <v>31-40</v>
      </c>
      <c r="M445" t="str">
        <f>_xlfn.IFS(K445&lt;500,"Low Spend",K445&lt;=2000,"Medium Spend",K445&lt;=5000,"High Spend",TRUE,"Premium Spend")</f>
        <v>Low Spend</v>
      </c>
      <c r="N445" t="str">
        <f>_xlfn.IFS(F445=1,"1 Item",F445&lt;=3,"2-3 Items",F445&lt;=5,"4-5 Items",TRUE,"6+ Items")</f>
        <v>1 Item</v>
      </c>
      <c r="O445" t="str">
        <f>TEXT(I445,"mmm")</f>
        <v>Nov</v>
      </c>
      <c r="P445">
        <f>MONTH(I445)</f>
        <v>11</v>
      </c>
      <c r="Q445">
        <f>YEAR(I445)</f>
        <v>2021</v>
      </c>
      <c r="R445" t="str">
        <f>IF(K445&gt;=5000,"High Value","Regular")</f>
        <v>Regular</v>
      </c>
      <c r="S445" t="str">
        <f>IF(F445&gt;=4,"Bulk Order","Normal Order")</f>
        <v>Normal Order</v>
      </c>
    </row>
    <row r="446" spans="1:19" x14ac:dyDescent="0.3">
      <c r="A446" t="s">
        <v>132</v>
      </c>
      <c r="B446" t="s">
        <v>131</v>
      </c>
      <c r="C446" t="s">
        <v>12</v>
      </c>
      <c r="D446">
        <v>29</v>
      </c>
      <c r="E446" t="s">
        <v>16</v>
      </c>
      <c r="F446">
        <v>2</v>
      </c>
      <c r="G446">
        <v>10.46</v>
      </c>
      <c r="H446" t="s">
        <v>15</v>
      </c>
      <c r="I446" s="1">
        <v>44935</v>
      </c>
      <c r="J446" t="s">
        <v>22</v>
      </c>
      <c r="K446">
        <f>F446*G446</f>
        <v>20.92</v>
      </c>
      <c r="L446" t="str">
        <f>_xlfn.IFS(D446&lt;20,"Below 20",D446&lt;=30,"20-30",D446&lt;=40,"31-40",D446&lt;=50,"41-50",D446&lt;=60,"51-60",TRUE,"60+")</f>
        <v>20-30</v>
      </c>
      <c r="M446" t="str">
        <f>_xlfn.IFS(K446&lt;500,"Low Spend",K446&lt;=2000,"Medium Spend",K446&lt;=5000,"High Spend",TRUE,"Premium Spend")</f>
        <v>Low Spend</v>
      </c>
      <c r="N446" t="str">
        <f>_xlfn.IFS(F446=1,"1 Item",F446&lt;=3,"2-3 Items",F446&lt;=5,"4-5 Items",TRUE,"6+ Items")</f>
        <v>2-3 Items</v>
      </c>
      <c r="O446" t="str">
        <f>TEXT(I446,"mmm")</f>
        <v>Jan</v>
      </c>
      <c r="P446">
        <f>MONTH(I446)</f>
        <v>1</v>
      </c>
      <c r="Q446">
        <f>YEAR(I446)</f>
        <v>2023</v>
      </c>
      <c r="R446" t="str">
        <f>IF(K446&gt;=5000,"High Value","Regular")</f>
        <v>Regular</v>
      </c>
      <c r="S446" t="str">
        <f>IF(F446&gt;=4,"Bulk Order","Normal Order")</f>
        <v>Normal Order</v>
      </c>
    </row>
    <row r="447" spans="1:19" x14ac:dyDescent="0.3">
      <c r="A447" t="s">
        <v>130</v>
      </c>
      <c r="B447" t="s">
        <v>129</v>
      </c>
      <c r="C447" t="s">
        <v>12</v>
      </c>
      <c r="D447">
        <v>65</v>
      </c>
      <c r="E447" t="s">
        <v>112</v>
      </c>
      <c r="F447">
        <v>3</v>
      </c>
      <c r="G447">
        <v>3150</v>
      </c>
      <c r="H447" t="s">
        <v>1</v>
      </c>
      <c r="I447" s="1">
        <v>44522</v>
      </c>
      <c r="J447" t="s">
        <v>11</v>
      </c>
      <c r="K447">
        <f>F447*G447</f>
        <v>9450</v>
      </c>
      <c r="L447" t="str">
        <f>_xlfn.IFS(D447&lt;20,"Below 20",D447&lt;=30,"20-30",D447&lt;=40,"31-40",D447&lt;=50,"41-50",D447&lt;=60,"51-60",TRUE,"60+")</f>
        <v>60+</v>
      </c>
      <c r="M447" t="str">
        <f>_xlfn.IFS(K447&lt;500,"Low Spend",K447&lt;=2000,"Medium Spend",K447&lt;=5000,"High Spend",TRUE,"Premium Spend")</f>
        <v>Premium Spend</v>
      </c>
      <c r="N447" t="str">
        <f>_xlfn.IFS(F447=1,"1 Item",F447&lt;=3,"2-3 Items",F447&lt;=5,"4-5 Items",TRUE,"6+ Items")</f>
        <v>2-3 Items</v>
      </c>
      <c r="O447" t="str">
        <f>TEXT(I447,"mmm")</f>
        <v>Nov</v>
      </c>
      <c r="P447">
        <f>MONTH(I447)</f>
        <v>11</v>
      </c>
      <c r="Q447">
        <f>YEAR(I447)</f>
        <v>2021</v>
      </c>
      <c r="R447" t="str">
        <f>IF(K447&gt;=5000,"High Value","Regular")</f>
        <v>High Value</v>
      </c>
      <c r="S447" t="str">
        <f>IF(F447&gt;=4,"Bulk Order","Normal Order")</f>
        <v>Normal Order</v>
      </c>
    </row>
    <row r="448" spans="1:19" x14ac:dyDescent="0.3">
      <c r="A448" t="s">
        <v>128</v>
      </c>
      <c r="B448" t="s">
        <v>127</v>
      </c>
      <c r="C448" t="s">
        <v>3</v>
      </c>
      <c r="D448">
        <v>66</v>
      </c>
      <c r="E448" t="s">
        <v>8</v>
      </c>
      <c r="F448">
        <v>1</v>
      </c>
      <c r="G448">
        <v>300.08</v>
      </c>
      <c r="H448" t="s">
        <v>15</v>
      </c>
      <c r="I448" s="1">
        <v>44933</v>
      </c>
      <c r="J448" t="s">
        <v>11</v>
      </c>
      <c r="K448">
        <f>F448*G448</f>
        <v>300.08</v>
      </c>
      <c r="L448" t="str">
        <f>_xlfn.IFS(D448&lt;20,"Below 20",D448&lt;=30,"20-30",D448&lt;=40,"31-40",D448&lt;=50,"41-50",D448&lt;=60,"51-60",TRUE,"60+")</f>
        <v>60+</v>
      </c>
      <c r="M448" t="str">
        <f>_xlfn.IFS(K448&lt;500,"Low Spend",K448&lt;=2000,"Medium Spend",K448&lt;=5000,"High Spend",TRUE,"Premium Spend")</f>
        <v>Low Spend</v>
      </c>
      <c r="N448" t="str">
        <f>_xlfn.IFS(F448=1,"1 Item",F448&lt;=3,"2-3 Items",F448&lt;=5,"4-5 Items",TRUE,"6+ Items")</f>
        <v>1 Item</v>
      </c>
      <c r="O448" t="str">
        <f>TEXT(I448,"mmm")</f>
        <v>Jan</v>
      </c>
      <c r="P448">
        <f>MONTH(I448)</f>
        <v>1</v>
      </c>
      <c r="Q448">
        <f>YEAR(I448)</f>
        <v>2023</v>
      </c>
      <c r="R448" t="str">
        <f>IF(K448&gt;=5000,"High Value","Regular")</f>
        <v>Regular</v>
      </c>
      <c r="S448" t="str">
        <f>IF(F448&gt;=4,"Bulk Order","Normal Order")</f>
        <v>Normal Order</v>
      </c>
    </row>
    <row r="449" spans="1:19" x14ac:dyDescent="0.3">
      <c r="A449" t="s">
        <v>126</v>
      </c>
      <c r="B449" t="s">
        <v>125</v>
      </c>
      <c r="C449" t="s">
        <v>12</v>
      </c>
      <c r="D449">
        <v>54</v>
      </c>
      <c r="E449" t="s">
        <v>19</v>
      </c>
      <c r="F449">
        <v>3</v>
      </c>
      <c r="G449">
        <v>121.98</v>
      </c>
      <c r="H449" t="s">
        <v>1</v>
      </c>
      <c r="I449" s="1">
        <v>44827</v>
      </c>
      <c r="J449" t="s">
        <v>0</v>
      </c>
      <c r="K449">
        <f>F449*G449</f>
        <v>365.94</v>
      </c>
      <c r="L449" t="str">
        <f>_xlfn.IFS(D449&lt;20,"Below 20",D449&lt;=30,"20-30",D449&lt;=40,"31-40",D449&lt;=50,"41-50",D449&lt;=60,"51-60",TRUE,"60+")</f>
        <v>51-60</v>
      </c>
      <c r="M449" t="str">
        <f>_xlfn.IFS(K449&lt;500,"Low Spend",K449&lt;=2000,"Medium Spend",K449&lt;=5000,"High Spend",TRUE,"Premium Spend")</f>
        <v>Low Spend</v>
      </c>
      <c r="N449" t="str">
        <f>_xlfn.IFS(F449=1,"1 Item",F449&lt;=3,"2-3 Items",F449&lt;=5,"4-5 Items",TRUE,"6+ Items")</f>
        <v>2-3 Items</v>
      </c>
      <c r="O449" t="str">
        <f>TEXT(I449,"mmm")</f>
        <v>Sep</v>
      </c>
      <c r="P449">
        <f>MONTH(I449)</f>
        <v>9</v>
      </c>
      <c r="Q449">
        <f>YEAR(I449)</f>
        <v>2022</v>
      </c>
      <c r="R449" t="str">
        <f>IF(K449&gt;=5000,"High Value","Regular")</f>
        <v>Regular</v>
      </c>
      <c r="S449" t="str">
        <f>IF(F449&gt;=4,"Bulk Order","Normal Order")</f>
        <v>Normal Order</v>
      </c>
    </row>
    <row r="450" spans="1:19" x14ac:dyDescent="0.3">
      <c r="A450" t="s">
        <v>124</v>
      </c>
      <c r="B450" t="s">
        <v>123</v>
      </c>
      <c r="C450" t="s">
        <v>12</v>
      </c>
      <c r="D450">
        <v>44</v>
      </c>
      <c r="E450" t="s">
        <v>112</v>
      </c>
      <c r="F450">
        <v>4</v>
      </c>
      <c r="G450">
        <v>4200</v>
      </c>
      <c r="H450" t="s">
        <v>1</v>
      </c>
      <c r="I450" s="1">
        <v>44736</v>
      </c>
      <c r="J450" t="s">
        <v>68</v>
      </c>
      <c r="K450">
        <f>F450*G450</f>
        <v>16800</v>
      </c>
      <c r="L450" t="str">
        <f>_xlfn.IFS(D450&lt;20,"Below 20",D450&lt;=30,"20-30",D450&lt;=40,"31-40",D450&lt;=50,"41-50",D450&lt;=60,"51-60",TRUE,"60+")</f>
        <v>41-50</v>
      </c>
      <c r="M450" t="str">
        <f>_xlfn.IFS(K450&lt;500,"Low Spend",K450&lt;=2000,"Medium Spend",K450&lt;=5000,"High Spend",TRUE,"Premium Spend")</f>
        <v>Premium Spend</v>
      </c>
      <c r="N450" t="str">
        <f>_xlfn.IFS(F450=1,"1 Item",F450&lt;=3,"2-3 Items",F450&lt;=5,"4-5 Items",TRUE,"6+ Items")</f>
        <v>4-5 Items</v>
      </c>
      <c r="O450" t="str">
        <f>TEXT(I450,"mmm")</f>
        <v>Jun</v>
      </c>
      <c r="P450">
        <f>MONTH(I450)</f>
        <v>6</v>
      </c>
      <c r="Q450">
        <f>YEAR(I450)</f>
        <v>2022</v>
      </c>
      <c r="R450" t="str">
        <f>IF(K450&gt;=5000,"High Value","Regular")</f>
        <v>High Value</v>
      </c>
      <c r="S450" t="str">
        <f>IF(F450&gt;=4,"Bulk Order","Normal Order")</f>
        <v>Bulk Order</v>
      </c>
    </row>
    <row r="451" spans="1:19" x14ac:dyDescent="0.3">
      <c r="A451" t="s">
        <v>122</v>
      </c>
      <c r="B451" t="s">
        <v>121</v>
      </c>
      <c r="C451" t="s">
        <v>12</v>
      </c>
      <c r="D451">
        <v>46</v>
      </c>
      <c r="E451" t="s">
        <v>2</v>
      </c>
      <c r="F451">
        <v>5</v>
      </c>
      <c r="G451">
        <v>179.2</v>
      </c>
      <c r="H451" t="s">
        <v>15</v>
      </c>
      <c r="I451" s="1">
        <v>44381</v>
      </c>
      <c r="J451" t="s">
        <v>28</v>
      </c>
      <c r="K451">
        <f>F451*G451</f>
        <v>896</v>
      </c>
      <c r="L451" t="str">
        <f>_xlfn.IFS(D451&lt;20,"Below 20",D451&lt;=30,"20-30",D451&lt;=40,"31-40",D451&lt;=50,"41-50",D451&lt;=60,"51-60",TRUE,"60+")</f>
        <v>41-50</v>
      </c>
      <c r="M451" t="str">
        <f>_xlfn.IFS(K451&lt;500,"Low Spend",K451&lt;=2000,"Medium Spend",K451&lt;=5000,"High Spend",TRUE,"Premium Spend")</f>
        <v>Medium Spend</v>
      </c>
      <c r="N451" t="str">
        <f>_xlfn.IFS(F451=1,"1 Item",F451&lt;=3,"2-3 Items",F451&lt;=5,"4-5 Items",TRUE,"6+ Items")</f>
        <v>4-5 Items</v>
      </c>
      <c r="O451" t="str">
        <f>TEXT(I451,"mmm")</f>
        <v>Jul</v>
      </c>
      <c r="P451">
        <f>MONTH(I451)</f>
        <v>7</v>
      </c>
      <c r="Q451">
        <f>YEAR(I451)</f>
        <v>2021</v>
      </c>
      <c r="R451" t="str">
        <f>IF(K451&gt;=5000,"High Value","Regular")</f>
        <v>Regular</v>
      </c>
      <c r="S451" t="str">
        <f>IF(F451&gt;=4,"Bulk Order","Normal Order")</f>
        <v>Bulk Order</v>
      </c>
    </row>
    <row r="452" spans="1:19" x14ac:dyDescent="0.3">
      <c r="A452" t="s">
        <v>120</v>
      </c>
      <c r="B452" t="s">
        <v>119</v>
      </c>
      <c r="C452" t="s">
        <v>12</v>
      </c>
      <c r="D452">
        <v>37</v>
      </c>
      <c r="E452" t="s">
        <v>16</v>
      </c>
      <c r="F452">
        <v>5</v>
      </c>
      <c r="G452">
        <v>26.15</v>
      </c>
      <c r="H452" t="s">
        <v>15</v>
      </c>
      <c r="I452" s="1">
        <v>44431</v>
      </c>
      <c r="J452" t="s">
        <v>68</v>
      </c>
      <c r="K452">
        <f>F452*G452</f>
        <v>130.75</v>
      </c>
      <c r="L452" t="str">
        <f>_xlfn.IFS(D452&lt;20,"Below 20",D452&lt;=30,"20-30",D452&lt;=40,"31-40",D452&lt;=50,"41-50",D452&lt;=60,"51-60",TRUE,"60+")</f>
        <v>31-40</v>
      </c>
      <c r="M452" t="str">
        <f>_xlfn.IFS(K452&lt;500,"Low Spend",K452&lt;=2000,"Medium Spend",K452&lt;=5000,"High Spend",TRUE,"Premium Spend")</f>
        <v>Low Spend</v>
      </c>
      <c r="N452" t="str">
        <f>_xlfn.IFS(F452=1,"1 Item",F452&lt;=3,"2-3 Items",F452&lt;=5,"4-5 Items",TRUE,"6+ Items")</f>
        <v>4-5 Items</v>
      </c>
      <c r="O452" t="str">
        <f>TEXT(I452,"mmm")</f>
        <v>Aug</v>
      </c>
      <c r="P452">
        <f>MONTH(I452)</f>
        <v>8</v>
      </c>
      <c r="Q452">
        <f>YEAR(I452)</f>
        <v>2021</v>
      </c>
      <c r="R452" t="str">
        <f>IF(K452&gt;=5000,"High Value","Regular")</f>
        <v>Regular</v>
      </c>
      <c r="S452" t="str">
        <f>IF(F452&gt;=4,"Bulk Order","Normal Order")</f>
        <v>Bulk Order</v>
      </c>
    </row>
    <row r="453" spans="1:19" x14ac:dyDescent="0.3">
      <c r="A453" t="s">
        <v>118</v>
      </c>
      <c r="B453" t="s">
        <v>117</v>
      </c>
      <c r="C453" t="s">
        <v>3</v>
      </c>
      <c r="D453">
        <v>22</v>
      </c>
      <c r="E453" t="s">
        <v>16</v>
      </c>
      <c r="F453">
        <v>5</v>
      </c>
      <c r="G453">
        <v>26.15</v>
      </c>
      <c r="H453" t="s">
        <v>1</v>
      </c>
      <c r="I453" s="1">
        <v>44784</v>
      </c>
      <c r="J453" t="s">
        <v>11</v>
      </c>
      <c r="K453">
        <f>F453*G453</f>
        <v>130.75</v>
      </c>
      <c r="L453" t="str">
        <f>_xlfn.IFS(D453&lt;20,"Below 20",D453&lt;=30,"20-30",D453&lt;=40,"31-40",D453&lt;=50,"41-50",D453&lt;=60,"51-60",TRUE,"60+")</f>
        <v>20-30</v>
      </c>
      <c r="M453" t="str">
        <f>_xlfn.IFS(K453&lt;500,"Low Spend",K453&lt;=2000,"Medium Spend",K453&lt;=5000,"High Spend",TRUE,"Premium Spend")</f>
        <v>Low Spend</v>
      </c>
      <c r="N453" t="str">
        <f>_xlfn.IFS(F453=1,"1 Item",F453&lt;=3,"2-3 Items",F453&lt;=5,"4-5 Items",TRUE,"6+ Items")</f>
        <v>4-5 Items</v>
      </c>
      <c r="O453" t="str">
        <f>TEXT(I453,"mmm")</f>
        <v>Aug</v>
      </c>
      <c r="P453">
        <f>MONTH(I453)</f>
        <v>8</v>
      </c>
      <c r="Q453">
        <f>YEAR(I453)</f>
        <v>2022</v>
      </c>
      <c r="R453" t="str">
        <f>IF(K453&gt;=5000,"High Value","Regular")</f>
        <v>Regular</v>
      </c>
      <c r="S453" t="str">
        <f>IF(F453&gt;=4,"Bulk Order","Normal Order")</f>
        <v>Bulk Order</v>
      </c>
    </row>
    <row r="454" spans="1:19" x14ac:dyDescent="0.3">
      <c r="A454" t="s">
        <v>116</v>
      </c>
      <c r="B454" t="s">
        <v>115</v>
      </c>
      <c r="C454" t="s">
        <v>3</v>
      </c>
      <c r="D454">
        <v>55</v>
      </c>
      <c r="E454" t="s">
        <v>19</v>
      </c>
      <c r="F454">
        <v>4</v>
      </c>
      <c r="G454">
        <v>162.63999999999999</v>
      </c>
      <c r="H454" t="s">
        <v>15</v>
      </c>
      <c r="I454" s="1">
        <v>44410</v>
      </c>
      <c r="J454" t="s">
        <v>22</v>
      </c>
      <c r="K454">
        <f>F454*G454</f>
        <v>650.55999999999995</v>
      </c>
      <c r="L454" t="str">
        <f>_xlfn.IFS(D454&lt;20,"Below 20",D454&lt;=30,"20-30",D454&lt;=40,"31-40",D454&lt;=50,"41-50",D454&lt;=60,"51-60",TRUE,"60+")</f>
        <v>51-60</v>
      </c>
      <c r="M454" t="str">
        <f>_xlfn.IFS(K454&lt;500,"Low Spend",K454&lt;=2000,"Medium Spend",K454&lt;=5000,"High Spend",TRUE,"Premium Spend")</f>
        <v>Medium Spend</v>
      </c>
      <c r="N454" t="str">
        <f>_xlfn.IFS(F454=1,"1 Item",F454&lt;=3,"2-3 Items",F454&lt;=5,"4-5 Items",TRUE,"6+ Items")</f>
        <v>4-5 Items</v>
      </c>
      <c r="O454" t="str">
        <f>TEXT(I454,"mmm")</f>
        <v>Aug</v>
      </c>
      <c r="P454">
        <f>MONTH(I454)</f>
        <v>8</v>
      </c>
      <c r="Q454">
        <f>YEAR(I454)</f>
        <v>2021</v>
      </c>
      <c r="R454" t="str">
        <f>IF(K454&gt;=5000,"High Value","Regular")</f>
        <v>Regular</v>
      </c>
      <c r="S454" t="str">
        <f>IF(F454&gt;=4,"Bulk Order","Normal Order")</f>
        <v>Bulk Order</v>
      </c>
    </row>
    <row r="455" spans="1:19" x14ac:dyDescent="0.3">
      <c r="A455" t="s">
        <v>114</v>
      </c>
      <c r="B455" t="s">
        <v>113</v>
      </c>
      <c r="C455" t="s">
        <v>12</v>
      </c>
      <c r="D455">
        <v>41</v>
      </c>
      <c r="E455" t="s">
        <v>112</v>
      </c>
      <c r="F455">
        <v>2</v>
      </c>
      <c r="G455">
        <v>2100</v>
      </c>
      <c r="H455" t="s">
        <v>15</v>
      </c>
      <c r="I455" s="1">
        <v>44749</v>
      </c>
      <c r="J455" t="s">
        <v>22</v>
      </c>
      <c r="K455">
        <f>F455*G455</f>
        <v>4200</v>
      </c>
      <c r="L455" t="str">
        <f>_xlfn.IFS(D455&lt;20,"Below 20",D455&lt;=30,"20-30",D455&lt;=40,"31-40",D455&lt;=50,"41-50",D455&lt;=60,"51-60",TRUE,"60+")</f>
        <v>41-50</v>
      </c>
      <c r="M455" t="str">
        <f>_xlfn.IFS(K455&lt;500,"Low Spend",K455&lt;=2000,"Medium Spend",K455&lt;=5000,"High Spend",TRUE,"Premium Spend")</f>
        <v>High Spend</v>
      </c>
      <c r="N455" t="str">
        <f>_xlfn.IFS(F455=1,"1 Item",F455&lt;=3,"2-3 Items",F455&lt;=5,"4-5 Items",TRUE,"6+ Items")</f>
        <v>2-3 Items</v>
      </c>
      <c r="O455" t="str">
        <f>TEXT(I455,"mmm")</f>
        <v>Jul</v>
      </c>
      <c r="P455">
        <f>MONTH(I455)</f>
        <v>7</v>
      </c>
      <c r="Q455">
        <f>YEAR(I455)</f>
        <v>2022</v>
      </c>
      <c r="R455" t="str">
        <f>IF(K455&gt;=5000,"High Value","Regular")</f>
        <v>Regular</v>
      </c>
      <c r="S455" t="str">
        <f>IF(F455&gt;=4,"Bulk Order","Normal Order")</f>
        <v>Normal Order</v>
      </c>
    </row>
    <row r="456" spans="1:19" x14ac:dyDescent="0.3">
      <c r="A456" t="s">
        <v>111</v>
      </c>
      <c r="B456" t="s">
        <v>110</v>
      </c>
      <c r="C456" t="s">
        <v>12</v>
      </c>
      <c r="D456">
        <v>42</v>
      </c>
      <c r="E456" t="s">
        <v>2</v>
      </c>
      <c r="F456">
        <v>3</v>
      </c>
      <c r="G456">
        <v>107.52</v>
      </c>
      <c r="H456" t="s">
        <v>1</v>
      </c>
      <c r="I456" s="1">
        <v>44605</v>
      </c>
      <c r="J456" t="s">
        <v>6</v>
      </c>
      <c r="K456">
        <f>F456*G456</f>
        <v>322.56</v>
      </c>
      <c r="L456" t="str">
        <f>_xlfn.IFS(D456&lt;20,"Below 20",D456&lt;=30,"20-30",D456&lt;=40,"31-40",D456&lt;=50,"41-50",D456&lt;=60,"51-60",TRUE,"60+")</f>
        <v>41-50</v>
      </c>
      <c r="M456" t="str">
        <f>_xlfn.IFS(K456&lt;500,"Low Spend",K456&lt;=2000,"Medium Spend",K456&lt;=5000,"High Spend",TRUE,"Premium Spend")</f>
        <v>Low Spend</v>
      </c>
      <c r="N456" t="str">
        <f>_xlfn.IFS(F456=1,"1 Item",F456&lt;=3,"2-3 Items",F456&lt;=5,"4-5 Items",TRUE,"6+ Items")</f>
        <v>2-3 Items</v>
      </c>
      <c r="O456" t="str">
        <f>TEXT(I456,"mmm")</f>
        <v>Feb</v>
      </c>
      <c r="P456">
        <f>MONTH(I456)</f>
        <v>2</v>
      </c>
      <c r="Q456">
        <f>YEAR(I456)</f>
        <v>2022</v>
      </c>
      <c r="R456" t="str">
        <f>IF(K456&gt;=5000,"High Value","Regular")</f>
        <v>Regular</v>
      </c>
      <c r="S456" t="str">
        <f>IF(F456&gt;=4,"Bulk Order","Normal Order")</f>
        <v>Normal Order</v>
      </c>
    </row>
    <row r="457" spans="1:19" x14ac:dyDescent="0.3">
      <c r="A457" t="s">
        <v>109</v>
      </c>
      <c r="B457" t="s">
        <v>108</v>
      </c>
      <c r="C457" t="s">
        <v>12</v>
      </c>
      <c r="D457">
        <v>24</v>
      </c>
      <c r="E457" t="s">
        <v>31</v>
      </c>
      <c r="F457">
        <v>3</v>
      </c>
      <c r="G457">
        <v>1800.51</v>
      </c>
      <c r="H457" t="s">
        <v>1</v>
      </c>
      <c r="I457" s="1">
        <v>44851</v>
      </c>
      <c r="J457" t="s">
        <v>107</v>
      </c>
      <c r="K457">
        <f>F457*G457</f>
        <v>5401.53</v>
      </c>
      <c r="L457" t="str">
        <f>_xlfn.IFS(D457&lt;20,"Below 20",D457&lt;=30,"20-30",D457&lt;=40,"31-40",D457&lt;=50,"41-50",D457&lt;=60,"51-60",TRUE,"60+")</f>
        <v>20-30</v>
      </c>
      <c r="M457" t="str">
        <f>_xlfn.IFS(K457&lt;500,"Low Spend",K457&lt;=2000,"Medium Spend",K457&lt;=5000,"High Spend",TRUE,"Premium Spend")</f>
        <v>Premium Spend</v>
      </c>
      <c r="N457" t="str">
        <f>_xlfn.IFS(F457=1,"1 Item",F457&lt;=3,"2-3 Items",F457&lt;=5,"4-5 Items",TRUE,"6+ Items")</f>
        <v>2-3 Items</v>
      </c>
      <c r="O457" t="str">
        <f>TEXT(I457,"mmm")</f>
        <v>Oct</v>
      </c>
      <c r="P457">
        <f>MONTH(I457)</f>
        <v>10</v>
      </c>
      <c r="Q457">
        <f>YEAR(I457)</f>
        <v>2022</v>
      </c>
      <c r="R457" t="str">
        <f>IF(K457&gt;=5000,"High Value","Regular")</f>
        <v>High Value</v>
      </c>
      <c r="S457" t="str">
        <f>IF(F457&gt;=4,"Bulk Order","Normal Order")</f>
        <v>Normal Order</v>
      </c>
    </row>
    <row r="458" spans="1:19" x14ac:dyDescent="0.3">
      <c r="A458" t="s">
        <v>106</v>
      </c>
      <c r="B458" t="s">
        <v>105</v>
      </c>
      <c r="C458" t="s">
        <v>3</v>
      </c>
      <c r="D458">
        <v>43</v>
      </c>
      <c r="E458" t="s">
        <v>19</v>
      </c>
      <c r="F458">
        <v>4</v>
      </c>
      <c r="G458">
        <v>162.63999999999999</v>
      </c>
      <c r="H458" t="s">
        <v>15</v>
      </c>
      <c r="I458" s="1">
        <v>44879</v>
      </c>
      <c r="J458" t="s">
        <v>11</v>
      </c>
      <c r="K458">
        <f>F458*G458</f>
        <v>650.55999999999995</v>
      </c>
      <c r="L458" t="str">
        <f>_xlfn.IFS(D458&lt;20,"Below 20",D458&lt;=30,"20-30",D458&lt;=40,"31-40",D458&lt;=50,"41-50",D458&lt;=60,"51-60",TRUE,"60+")</f>
        <v>41-50</v>
      </c>
      <c r="M458" t="str">
        <f>_xlfn.IFS(K458&lt;500,"Low Spend",K458&lt;=2000,"Medium Spend",K458&lt;=5000,"High Spend",TRUE,"Premium Spend")</f>
        <v>Medium Spend</v>
      </c>
      <c r="N458" t="str">
        <f>_xlfn.IFS(F458=1,"1 Item",F458&lt;=3,"2-3 Items",F458&lt;=5,"4-5 Items",TRUE,"6+ Items")</f>
        <v>4-5 Items</v>
      </c>
      <c r="O458" t="str">
        <f>TEXT(I458,"mmm")</f>
        <v>Nov</v>
      </c>
      <c r="P458">
        <f>MONTH(I458)</f>
        <v>11</v>
      </c>
      <c r="Q458">
        <f>YEAR(I458)</f>
        <v>2022</v>
      </c>
      <c r="R458" t="str">
        <f>IF(K458&gt;=5000,"High Value","Regular")</f>
        <v>Regular</v>
      </c>
      <c r="S458" t="str">
        <f>IF(F458&gt;=4,"Bulk Order","Normal Order")</f>
        <v>Bulk Order</v>
      </c>
    </row>
    <row r="459" spans="1:19" x14ac:dyDescent="0.3">
      <c r="A459" t="s">
        <v>104</v>
      </c>
      <c r="B459" t="s">
        <v>103</v>
      </c>
      <c r="C459" t="s">
        <v>12</v>
      </c>
      <c r="D459">
        <v>40</v>
      </c>
      <c r="E459" t="s">
        <v>8</v>
      </c>
      <c r="F459">
        <v>3</v>
      </c>
      <c r="G459">
        <v>900.24</v>
      </c>
      <c r="H459" t="s">
        <v>1</v>
      </c>
      <c r="I459" s="1">
        <v>44279</v>
      </c>
      <c r="J459" t="s">
        <v>102</v>
      </c>
      <c r="K459">
        <f>F459*G459</f>
        <v>2700.7200000000003</v>
      </c>
      <c r="L459" t="str">
        <f>_xlfn.IFS(D459&lt;20,"Below 20",D459&lt;=30,"20-30",D459&lt;=40,"31-40",D459&lt;=50,"41-50",D459&lt;=60,"51-60",TRUE,"60+")</f>
        <v>31-40</v>
      </c>
      <c r="M459" t="str">
        <f>_xlfn.IFS(K459&lt;500,"Low Spend",K459&lt;=2000,"Medium Spend",K459&lt;=5000,"High Spend",TRUE,"Premium Spend")</f>
        <v>High Spend</v>
      </c>
      <c r="N459" t="str">
        <f>_xlfn.IFS(F459=1,"1 Item",F459&lt;=3,"2-3 Items",F459&lt;=5,"4-5 Items",TRUE,"6+ Items")</f>
        <v>2-3 Items</v>
      </c>
      <c r="O459" t="str">
        <f>TEXT(I459,"mmm")</f>
        <v>Mar</v>
      </c>
      <c r="P459">
        <f>MONTH(I459)</f>
        <v>3</v>
      </c>
      <c r="Q459">
        <f>YEAR(I459)</f>
        <v>2021</v>
      </c>
      <c r="R459" t="str">
        <f>IF(K459&gt;=5000,"High Value","Regular")</f>
        <v>Regular</v>
      </c>
      <c r="S459" t="str">
        <f>IF(F459&gt;=4,"Bulk Order","Normal Order")</f>
        <v>Normal Order</v>
      </c>
    </row>
    <row r="460" spans="1:19" x14ac:dyDescent="0.3">
      <c r="A460" t="s">
        <v>101</v>
      </c>
      <c r="B460" t="s">
        <v>100</v>
      </c>
      <c r="C460" t="s">
        <v>3</v>
      </c>
      <c r="D460">
        <v>22</v>
      </c>
      <c r="E460" t="s">
        <v>19</v>
      </c>
      <c r="F460">
        <v>4</v>
      </c>
      <c r="G460">
        <v>162.63999999999999</v>
      </c>
      <c r="H460" t="s">
        <v>15</v>
      </c>
      <c r="I460" s="1">
        <v>44246</v>
      </c>
      <c r="J460" t="s">
        <v>28</v>
      </c>
      <c r="K460">
        <f>F460*G460</f>
        <v>650.55999999999995</v>
      </c>
      <c r="L460" t="str">
        <f>_xlfn.IFS(D460&lt;20,"Below 20",D460&lt;=30,"20-30",D460&lt;=40,"31-40",D460&lt;=50,"41-50",D460&lt;=60,"51-60",TRUE,"60+")</f>
        <v>20-30</v>
      </c>
      <c r="M460" t="str">
        <f>_xlfn.IFS(K460&lt;500,"Low Spend",K460&lt;=2000,"Medium Spend",K460&lt;=5000,"High Spend",TRUE,"Premium Spend")</f>
        <v>Medium Spend</v>
      </c>
      <c r="N460" t="str">
        <f>_xlfn.IFS(F460=1,"1 Item",F460&lt;=3,"2-3 Items",F460&lt;=5,"4-5 Items",TRUE,"6+ Items")</f>
        <v>4-5 Items</v>
      </c>
      <c r="O460" t="str">
        <f>TEXT(I460,"mmm")</f>
        <v>Feb</v>
      </c>
      <c r="P460">
        <f>MONTH(I460)</f>
        <v>2</v>
      </c>
      <c r="Q460">
        <f>YEAR(I460)</f>
        <v>2021</v>
      </c>
      <c r="R460" t="str">
        <f>IF(K460&gt;=5000,"High Value","Regular")</f>
        <v>Regular</v>
      </c>
      <c r="S460" t="str">
        <f>IF(F460&gt;=4,"Bulk Order","Normal Order")</f>
        <v>Bulk Order</v>
      </c>
    </row>
    <row r="461" spans="1:19" x14ac:dyDescent="0.3">
      <c r="A461" t="s">
        <v>99</v>
      </c>
      <c r="B461" t="s">
        <v>98</v>
      </c>
      <c r="C461" t="s">
        <v>3</v>
      </c>
      <c r="D461">
        <v>27</v>
      </c>
      <c r="E461" t="s">
        <v>61</v>
      </c>
      <c r="F461">
        <v>1</v>
      </c>
      <c r="G461">
        <v>15.15</v>
      </c>
      <c r="H461" t="s">
        <v>15</v>
      </c>
      <c r="I461" s="1">
        <v>44877</v>
      </c>
      <c r="J461" t="s">
        <v>97</v>
      </c>
      <c r="K461">
        <f>F461*G461</f>
        <v>15.15</v>
      </c>
      <c r="L461" t="str">
        <f>_xlfn.IFS(D461&lt;20,"Below 20",D461&lt;=30,"20-30",D461&lt;=40,"31-40",D461&lt;=50,"41-50",D461&lt;=60,"51-60",TRUE,"60+")</f>
        <v>20-30</v>
      </c>
      <c r="M461" t="str">
        <f>_xlfn.IFS(K461&lt;500,"Low Spend",K461&lt;=2000,"Medium Spend",K461&lt;=5000,"High Spend",TRUE,"Premium Spend")</f>
        <v>Low Spend</v>
      </c>
      <c r="N461" t="str">
        <f>_xlfn.IFS(F461=1,"1 Item",F461&lt;=3,"2-3 Items",F461&lt;=5,"4-5 Items",TRUE,"6+ Items")</f>
        <v>1 Item</v>
      </c>
      <c r="O461" t="str">
        <f>TEXT(I461,"mmm")</f>
        <v>Nov</v>
      </c>
      <c r="P461">
        <f>MONTH(I461)</f>
        <v>11</v>
      </c>
      <c r="Q461">
        <f>YEAR(I461)</f>
        <v>2022</v>
      </c>
      <c r="R461" t="str">
        <f>IF(K461&gt;=5000,"High Value","Regular")</f>
        <v>Regular</v>
      </c>
      <c r="S461" t="str">
        <f>IF(F461&gt;=4,"Bulk Order","Normal Order")</f>
        <v>Normal Order</v>
      </c>
    </row>
    <row r="462" spans="1:19" x14ac:dyDescent="0.3">
      <c r="A462" t="s">
        <v>96</v>
      </c>
      <c r="B462" t="s">
        <v>95</v>
      </c>
      <c r="C462" t="s">
        <v>3</v>
      </c>
      <c r="D462">
        <v>68</v>
      </c>
      <c r="E462" t="s">
        <v>19</v>
      </c>
      <c r="F462">
        <v>2</v>
      </c>
      <c r="G462">
        <v>81.319999999999993</v>
      </c>
      <c r="H462" t="s">
        <v>1</v>
      </c>
      <c r="I462" s="1">
        <v>44299</v>
      </c>
      <c r="J462" t="s">
        <v>22</v>
      </c>
      <c r="K462">
        <f>F462*G462</f>
        <v>162.63999999999999</v>
      </c>
      <c r="L462" t="str">
        <f>_xlfn.IFS(D462&lt;20,"Below 20",D462&lt;=30,"20-30",D462&lt;=40,"31-40",D462&lt;=50,"41-50",D462&lt;=60,"51-60",TRUE,"60+")</f>
        <v>60+</v>
      </c>
      <c r="M462" t="str">
        <f>_xlfn.IFS(K462&lt;500,"Low Spend",K462&lt;=2000,"Medium Spend",K462&lt;=5000,"High Spend",TRUE,"Premium Spend")</f>
        <v>Low Spend</v>
      </c>
      <c r="N462" t="str">
        <f>_xlfn.IFS(F462=1,"1 Item",F462&lt;=3,"2-3 Items",F462&lt;=5,"4-5 Items",TRUE,"6+ Items")</f>
        <v>2-3 Items</v>
      </c>
      <c r="O462" t="str">
        <f>TEXT(I462,"mmm")</f>
        <v>Apr</v>
      </c>
      <c r="P462">
        <f>MONTH(I462)</f>
        <v>4</v>
      </c>
      <c r="Q462">
        <f>YEAR(I462)</f>
        <v>2021</v>
      </c>
      <c r="R462" t="str">
        <f>IF(K462&gt;=5000,"High Value","Regular")</f>
        <v>Regular</v>
      </c>
      <c r="S462" t="str">
        <f>IF(F462&gt;=4,"Bulk Order","Normal Order")</f>
        <v>Normal Order</v>
      </c>
    </row>
    <row r="463" spans="1:19" x14ac:dyDescent="0.3">
      <c r="A463" t="s">
        <v>94</v>
      </c>
      <c r="B463" t="s">
        <v>93</v>
      </c>
      <c r="C463" t="s">
        <v>3</v>
      </c>
      <c r="D463">
        <v>48</v>
      </c>
      <c r="E463" t="s">
        <v>8</v>
      </c>
      <c r="F463">
        <v>2</v>
      </c>
      <c r="G463">
        <v>600.16</v>
      </c>
      <c r="H463" t="s">
        <v>1</v>
      </c>
      <c r="I463" s="1">
        <v>44319</v>
      </c>
      <c r="J463" t="s">
        <v>68</v>
      </c>
      <c r="K463">
        <f>F463*G463</f>
        <v>1200.32</v>
      </c>
      <c r="L463" t="str">
        <f>_xlfn.IFS(D463&lt;20,"Below 20",D463&lt;=30,"20-30",D463&lt;=40,"31-40",D463&lt;=50,"41-50",D463&lt;=60,"51-60",TRUE,"60+")</f>
        <v>41-50</v>
      </c>
      <c r="M463" t="str">
        <f>_xlfn.IFS(K463&lt;500,"Low Spend",K463&lt;=2000,"Medium Spend",K463&lt;=5000,"High Spend",TRUE,"Premium Spend")</f>
        <v>Medium Spend</v>
      </c>
      <c r="N463" t="str">
        <f>_xlfn.IFS(F463=1,"1 Item",F463&lt;=3,"2-3 Items",F463&lt;=5,"4-5 Items",TRUE,"6+ Items")</f>
        <v>2-3 Items</v>
      </c>
      <c r="O463" t="str">
        <f>TEXT(I463,"mmm")</f>
        <v>May</v>
      </c>
      <c r="P463">
        <f>MONTH(I463)</f>
        <v>5</v>
      </c>
      <c r="Q463">
        <f>YEAR(I463)</f>
        <v>2021</v>
      </c>
      <c r="R463" t="str">
        <f>IF(K463&gt;=5000,"High Value","Regular")</f>
        <v>Regular</v>
      </c>
      <c r="S463" t="str">
        <f>IF(F463&gt;=4,"Bulk Order","Normal Order")</f>
        <v>Normal Order</v>
      </c>
    </row>
    <row r="464" spans="1:19" x14ac:dyDescent="0.3">
      <c r="A464" t="s">
        <v>92</v>
      </c>
      <c r="B464" t="s">
        <v>91</v>
      </c>
      <c r="C464" t="s">
        <v>3</v>
      </c>
      <c r="D464">
        <v>56</v>
      </c>
      <c r="E464" t="s">
        <v>8</v>
      </c>
      <c r="F464">
        <v>3</v>
      </c>
      <c r="G464">
        <v>900.24</v>
      </c>
      <c r="H464" t="s">
        <v>15</v>
      </c>
      <c r="I464" s="1">
        <v>44675</v>
      </c>
      <c r="J464" t="s">
        <v>6</v>
      </c>
      <c r="K464">
        <f>F464*G464</f>
        <v>2700.7200000000003</v>
      </c>
      <c r="L464" t="str">
        <f>_xlfn.IFS(D464&lt;20,"Below 20",D464&lt;=30,"20-30",D464&lt;=40,"31-40",D464&lt;=50,"41-50",D464&lt;=60,"51-60",TRUE,"60+")</f>
        <v>51-60</v>
      </c>
      <c r="M464" t="str">
        <f>_xlfn.IFS(K464&lt;500,"Low Spend",K464&lt;=2000,"Medium Spend",K464&lt;=5000,"High Spend",TRUE,"Premium Spend")</f>
        <v>High Spend</v>
      </c>
      <c r="N464" t="str">
        <f>_xlfn.IFS(F464=1,"1 Item",F464&lt;=3,"2-3 Items",F464&lt;=5,"4-5 Items",TRUE,"6+ Items")</f>
        <v>2-3 Items</v>
      </c>
      <c r="O464" t="str">
        <f>TEXT(I464,"mmm")</f>
        <v>Apr</v>
      </c>
      <c r="P464">
        <f>MONTH(I464)</f>
        <v>4</v>
      </c>
      <c r="Q464">
        <f>YEAR(I464)</f>
        <v>2022</v>
      </c>
      <c r="R464" t="str">
        <f>IF(K464&gt;=5000,"High Value","Regular")</f>
        <v>Regular</v>
      </c>
      <c r="S464" t="str">
        <f>IF(F464&gt;=4,"Bulk Order","Normal Order")</f>
        <v>Normal Order</v>
      </c>
    </row>
    <row r="465" spans="1:19" x14ac:dyDescent="0.3">
      <c r="A465" t="s">
        <v>90</v>
      </c>
      <c r="B465" t="s">
        <v>89</v>
      </c>
      <c r="C465" t="s">
        <v>12</v>
      </c>
      <c r="D465">
        <v>25</v>
      </c>
      <c r="E465" t="s">
        <v>8</v>
      </c>
      <c r="F465">
        <v>3</v>
      </c>
      <c r="G465">
        <v>900.24</v>
      </c>
      <c r="H465" t="s">
        <v>7</v>
      </c>
      <c r="I465" s="1">
        <v>44912</v>
      </c>
      <c r="J465" t="s">
        <v>28</v>
      </c>
      <c r="K465">
        <f>F465*G465</f>
        <v>2700.7200000000003</v>
      </c>
      <c r="L465" t="str">
        <f>_xlfn.IFS(D465&lt;20,"Below 20",D465&lt;=30,"20-30",D465&lt;=40,"31-40",D465&lt;=50,"41-50",D465&lt;=60,"51-60",TRUE,"60+")</f>
        <v>20-30</v>
      </c>
      <c r="M465" t="str">
        <f>_xlfn.IFS(K465&lt;500,"Low Spend",K465&lt;=2000,"Medium Spend",K465&lt;=5000,"High Spend",TRUE,"Premium Spend")</f>
        <v>High Spend</v>
      </c>
      <c r="N465" t="str">
        <f>_xlfn.IFS(F465=1,"1 Item",F465&lt;=3,"2-3 Items",F465&lt;=5,"4-5 Items",TRUE,"6+ Items")</f>
        <v>2-3 Items</v>
      </c>
      <c r="O465" t="str">
        <f>TEXT(I465,"mmm")</f>
        <v>Dec</v>
      </c>
      <c r="P465">
        <f>MONTH(I465)</f>
        <v>12</v>
      </c>
      <c r="Q465">
        <f>YEAR(I465)</f>
        <v>2022</v>
      </c>
      <c r="R465" t="str">
        <f>IF(K465&gt;=5000,"High Value","Regular")</f>
        <v>Regular</v>
      </c>
      <c r="S465" t="str">
        <f>IF(F465&gt;=4,"Bulk Order","Normal Order")</f>
        <v>Normal Order</v>
      </c>
    </row>
    <row r="466" spans="1:19" x14ac:dyDescent="0.3">
      <c r="A466" t="s">
        <v>88</v>
      </c>
      <c r="B466" t="s">
        <v>87</v>
      </c>
      <c r="C466" t="s">
        <v>12</v>
      </c>
      <c r="D466">
        <v>30</v>
      </c>
      <c r="E466" t="s">
        <v>16</v>
      </c>
      <c r="F466">
        <v>4</v>
      </c>
      <c r="G466">
        <v>20.92</v>
      </c>
      <c r="H466" t="s">
        <v>15</v>
      </c>
      <c r="I466" s="1">
        <v>44884</v>
      </c>
      <c r="J466" t="s">
        <v>22</v>
      </c>
      <c r="K466">
        <f>F466*G466</f>
        <v>83.68</v>
      </c>
      <c r="L466" t="str">
        <f>_xlfn.IFS(D466&lt;20,"Below 20",D466&lt;=30,"20-30",D466&lt;=40,"31-40",D466&lt;=50,"41-50",D466&lt;=60,"51-60",TRUE,"60+")</f>
        <v>20-30</v>
      </c>
      <c r="M466" t="str">
        <f>_xlfn.IFS(K466&lt;500,"Low Spend",K466&lt;=2000,"Medium Spend",K466&lt;=5000,"High Spend",TRUE,"Premium Spend")</f>
        <v>Low Spend</v>
      </c>
      <c r="N466" t="str">
        <f>_xlfn.IFS(F466=1,"1 Item",F466&lt;=3,"2-3 Items",F466&lt;=5,"4-5 Items",TRUE,"6+ Items")</f>
        <v>4-5 Items</v>
      </c>
      <c r="O466" t="str">
        <f>TEXT(I466,"mmm")</f>
        <v>Nov</v>
      </c>
      <c r="P466">
        <f>MONTH(I466)</f>
        <v>11</v>
      </c>
      <c r="Q466">
        <f>YEAR(I466)</f>
        <v>2022</v>
      </c>
      <c r="R466" t="str">
        <f>IF(K466&gt;=5000,"High Value","Regular")</f>
        <v>Regular</v>
      </c>
      <c r="S466" t="str">
        <f>IF(F466&gt;=4,"Bulk Order","Normal Order")</f>
        <v>Bulk Order</v>
      </c>
    </row>
    <row r="467" spans="1:19" x14ac:dyDescent="0.3">
      <c r="A467" t="s">
        <v>86</v>
      </c>
      <c r="B467" t="s">
        <v>85</v>
      </c>
      <c r="C467" t="s">
        <v>3</v>
      </c>
      <c r="D467">
        <v>49</v>
      </c>
      <c r="E467" t="s">
        <v>2</v>
      </c>
      <c r="F467">
        <v>5</v>
      </c>
      <c r="G467">
        <v>179.2</v>
      </c>
      <c r="H467" t="s">
        <v>1</v>
      </c>
      <c r="I467" s="1">
        <v>44826</v>
      </c>
      <c r="J467" t="s">
        <v>68</v>
      </c>
      <c r="K467">
        <f>F467*G467</f>
        <v>896</v>
      </c>
      <c r="L467" t="str">
        <f>_xlfn.IFS(D467&lt;20,"Below 20",D467&lt;=30,"20-30",D467&lt;=40,"31-40",D467&lt;=50,"41-50",D467&lt;=60,"51-60",TRUE,"60+")</f>
        <v>41-50</v>
      </c>
      <c r="M467" t="str">
        <f>_xlfn.IFS(K467&lt;500,"Low Spend",K467&lt;=2000,"Medium Spend",K467&lt;=5000,"High Spend",TRUE,"Premium Spend")</f>
        <v>Medium Spend</v>
      </c>
      <c r="N467" t="str">
        <f>_xlfn.IFS(F467=1,"1 Item",F467&lt;=3,"2-3 Items",F467&lt;=5,"4-5 Items",TRUE,"6+ Items")</f>
        <v>4-5 Items</v>
      </c>
      <c r="O467" t="str">
        <f>TEXT(I467,"mmm")</f>
        <v>Sep</v>
      </c>
      <c r="P467">
        <f>MONTH(I467)</f>
        <v>9</v>
      </c>
      <c r="Q467">
        <f>YEAR(I467)</f>
        <v>2022</v>
      </c>
      <c r="R467" t="str">
        <f>IF(K467&gt;=5000,"High Value","Regular")</f>
        <v>Regular</v>
      </c>
      <c r="S467" t="str">
        <f>IF(F467&gt;=4,"Bulk Order","Normal Order")</f>
        <v>Bulk Order</v>
      </c>
    </row>
    <row r="468" spans="1:19" x14ac:dyDescent="0.3">
      <c r="A468" t="s">
        <v>84</v>
      </c>
      <c r="B468" t="s">
        <v>83</v>
      </c>
      <c r="C468" t="s">
        <v>12</v>
      </c>
      <c r="D468">
        <v>57</v>
      </c>
      <c r="E468" t="s">
        <v>8</v>
      </c>
      <c r="F468">
        <v>2</v>
      </c>
      <c r="G468">
        <v>600.16</v>
      </c>
      <c r="H468" t="s">
        <v>1</v>
      </c>
      <c r="I468" s="1">
        <v>44636</v>
      </c>
      <c r="J468" t="s">
        <v>22</v>
      </c>
      <c r="K468">
        <f>F468*G468</f>
        <v>1200.32</v>
      </c>
      <c r="L468" t="str">
        <f>_xlfn.IFS(D468&lt;20,"Below 20",D468&lt;=30,"20-30",D468&lt;=40,"31-40",D468&lt;=50,"41-50",D468&lt;=60,"51-60",TRUE,"60+")</f>
        <v>51-60</v>
      </c>
      <c r="M468" t="str">
        <f>_xlfn.IFS(K468&lt;500,"Low Spend",K468&lt;=2000,"Medium Spend",K468&lt;=5000,"High Spend",TRUE,"Premium Spend")</f>
        <v>Medium Spend</v>
      </c>
      <c r="N468" t="str">
        <f>_xlfn.IFS(F468=1,"1 Item",F468&lt;=3,"2-3 Items",F468&lt;=5,"4-5 Items",TRUE,"6+ Items")</f>
        <v>2-3 Items</v>
      </c>
      <c r="O468" t="str">
        <f>TEXT(I468,"mmm")</f>
        <v>Mar</v>
      </c>
      <c r="P468">
        <f>MONTH(I468)</f>
        <v>3</v>
      </c>
      <c r="Q468">
        <f>YEAR(I468)</f>
        <v>2022</v>
      </c>
      <c r="R468" t="str">
        <f>IF(K468&gt;=5000,"High Value","Regular")</f>
        <v>Regular</v>
      </c>
      <c r="S468" t="str">
        <f>IF(F468&gt;=4,"Bulk Order","Normal Order")</f>
        <v>Normal Order</v>
      </c>
    </row>
    <row r="469" spans="1:19" x14ac:dyDescent="0.3">
      <c r="A469" t="s">
        <v>82</v>
      </c>
      <c r="B469" t="s">
        <v>81</v>
      </c>
      <c r="C469" t="s">
        <v>3</v>
      </c>
      <c r="D469">
        <v>46</v>
      </c>
      <c r="E469" t="s">
        <v>16</v>
      </c>
      <c r="F469">
        <v>4</v>
      </c>
      <c r="G469">
        <v>20.92</v>
      </c>
      <c r="H469" t="s">
        <v>15</v>
      </c>
      <c r="I469" s="1">
        <v>44562</v>
      </c>
      <c r="J469" t="s">
        <v>22</v>
      </c>
      <c r="K469">
        <f>F469*G469</f>
        <v>83.68</v>
      </c>
      <c r="L469" t="str">
        <f>_xlfn.IFS(D469&lt;20,"Below 20",D469&lt;=30,"20-30",D469&lt;=40,"31-40",D469&lt;=50,"41-50",D469&lt;=60,"51-60",TRUE,"60+")</f>
        <v>41-50</v>
      </c>
      <c r="M469" t="str">
        <f>_xlfn.IFS(K469&lt;500,"Low Spend",K469&lt;=2000,"Medium Spend",K469&lt;=5000,"High Spend",TRUE,"Premium Spend")</f>
        <v>Low Spend</v>
      </c>
      <c r="N469" t="str">
        <f>_xlfn.IFS(F469=1,"1 Item",F469&lt;=3,"2-3 Items",F469&lt;=5,"4-5 Items",TRUE,"6+ Items")</f>
        <v>4-5 Items</v>
      </c>
      <c r="O469" t="str">
        <f>TEXT(I469,"mmm")</f>
        <v>Jan</v>
      </c>
      <c r="P469">
        <f>MONTH(I469)</f>
        <v>1</v>
      </c>
      <c r="Q469">
        <f>YEAR(I469)</f>
        <v>2022</v>
      </c>
      <c r="R469" t="str">
        <f>IF(K469&gt;=5000,"High Value","Regular")</f>
        <v>Regular</v>
      </c>
      <c r="S469" t="str">
        <f>IF(F469&gt;=4,"Bulk Order","Normal Order")</f>
        <v>Bulk Order</v>
      </c>
    </row>
    <row r="470" spans="1:19" x14ac:dyDescent="0.3">
      <c r="A470" t="s">
        <v>80</v>
      </c>
      <c r="B470" t="s">
        <v>79</v>
      </c>
      <c r="C470" t="s">
        <v>12</v>
      </c>
      <c r="D470">
        <v>29</v>
      </c>
      <c r="E470" t="s">
        <v>16</v>
      </c>
      <c r="F470">
        <v>3</v>
      </c>
      <c r="G470">
        <v>15.69</v>
      </c>
      <c r="H470" t="s">
        <v>15</v>
      </c>
      <c r="I470" s="1">
        <v>44400</v>
      </c>
      <c r="J470" t="s">
        <v>28</v>
      </c>
      <c r="K470">
        <f>F470*G470</f>
        <v>47.07</v>
      </c>
      <c r="L470" t="str">
        <f>_xlfn.IFS(D470&lt;20,"Below 20",D470&lt;=30,"20-30",D470&lt;=40,"31-40",D470&lt;=50,"41-50",D470&lt;=60,"51-60",TRUE,"60+")</f>
        <v>20-30</v>
      </c>
      <c r="M470" t="str">
        <f>_xlfn.IFS(K470&lt;500,"Low Spend",K470&lt;=2000,"Medium Spend",K470&lt;=5000,"High Spend",TRUE,"Premium Spend")</f>
        <v>Low Spend</v>
      </c>
      <c r="N470" t="str">
        <f>_xlfn.IFS(F470=1,"1 Item",F470&lt;=3,"2-3 Items",F470&lt;=5,"4-5 Items",TRUE,"6+ Items")</f>
        <v>2-3 Items</v>
      </c>
      <c r="O470" t="str">
        <f>TEXT(I470,"mmm")</f>
        <v>Jul</v>
      </c>
      <c r="P470">
        <f>MONTH(I470)</f>
        <v>7</v>
      </c>
      <c r="Q470">
        <f>YEAR(I470)</f>
        <v>2021</v>
      </c>
      <c r="R470" t="str">
        <f>IF(K470&gt;=5000,"High Value","Regular")</f>
        <v>Regular</v>
      </c>
      <c r="S470" t="str">
        <f>IF(F470&gt;=4,"Bulk Order","Normal Order")</f>
        <v>Normal Order</v>
      </c>
    </row>
    <row r="471" spans="1:19" x14ac:dyDescent="0.3">
      <c r="A471" t="s">
        <v>78</v>
      </c>
      <c r="B471" t="s">
        <v>77</v>
      </c>
      <c r="C471" t="s">
        <v>3</v>
      </c>
      <c r="D471">
        <v>69</v>
      </c>
      <c r="E471" t="s">
        <v>19</v>
      </c>
      <c r="F471">
        <v>1</v>
      </c>
      <c r="G471">
        <v>40.659999999999997</v>
      </c>
      <c r="H471" t="s">
        <v>7</v>
      </c>
      <c r="I471" s="1">
        <v>44552</v>
      </c>
      <c r="J471" t="s">
        <v>11</v>
      </c>
      <c r="K471">
        <f>F471*G471</f>
        <v>40.659999999999997</v>
      </c>
      <c r="L471" t="str">
        <f>_xlfn.IFS(D471&lt;20,"Below 20",D471&lt;=30,"20-30",D471&lt;=40,"31-40",D471&lt;=50,"41-50",D471&lt;=60,"51-60",TRUE,"60+")</f>
        <v>60+</v>
      </c>
      <c r="M471" t="str">
        <f>_xlfn.IFS(K471&lt;500,"Low Spend",K471&lt;=2000,"Medium Spend",K471&lt;=5000,"High Spend",TRUE,"Premium Spend")</f>
        <v>Low Spend</v>
      </c>
      <c r="N471" t="str">
        <f>_xlfn.IFS(F471=1,"1 Item",F471&lt;=3,"2-3 Items",F471&lt;=5,"4-5 Items",TRUE,"6+ Items")</f>
        <v>1 Item</v>
      </c>
      <c r="O471" t="str">
        <f>TEXT(I471,"mmm")</f>
        <v>Dec</v>
      </c>
      <c r="P471">
        <f>MONTH(I471)</f>
        <v>12</v>
      </c>
      <c r="Q471">
        <f>YEAR(I471)</f>
        <v>2021</v>
      </c>
      <c r="R471" t="str">
        <f>IF(K471&gt;=5000,"High Value","Regular")</f>
        <v>Regular</v>
      </c>
      <c r="S471" t="str">
        <f>IF(F471&gt;=4,"Bulk Order","Normal Order")</f>
        <v>Normal Order</v>
      </c>
    </row>
    <row r="472" spans="1:19" x14ac:dyDescent="0.3">
      <c r="A472" t="s">
        <v>76</v>
      </c>
      <c r="B472" t="s">
        <v>75</v>
      </c>
      <c r="C472" t="s">
        <v>3</v>
      </c>
      <c r="D472">
        <v>42</v>
      </c>
      <c r="E472" t="s">
        <v>19</v>
      </c>
      <c r="F472">
        <v>2</v>
      </c>
      <c r="G472">
        <v>81.319999999999993</v>
      </c>
      <c r="H472" t="s">
        <v>7</v>
      </c>
      <c r="I472" s="1">
        <v>44629</v>
      </c>
      <c r="J472" t="s">
        <v>28</v>
      </c>
      <c r="K472">
        <f>F472*G472</f>
        <v>162.63999999999999</v>
      </c>
      <c r="L472" t="str">
        <f>_xlfn.IFS(D472&lt;20,"Below 20",D472&lt;=30,"20-30",D472&lt;=40,"31-40",D472&lt;=50,"41-50",D472&lt;=60,"51-60",TRUE,"60+")</f>
        <v>41-50</v>
      </c>
      <c r="M472" t="str">
        <f>_xlfn.IFS(K472&lt;500,"Low Spend",K472&lt;=2000,"Medium Spend",K472&lt;=5000,"High Spend",TRUE,"Premium Spend")</f>
        <v>Low Spend</v>
      </c>
      <c r="N472" t="str">
        <f>_xlfn.IFS(F472=1,"1 Item",F472&lt;=3,"2-3 Items",F472&lt;=5,"4-5 Items",TRUE,"6+ Items")</f>
        <v>2-3 Items</v>
      </c>
      <c r="O472" t="str">
        <f>TEXT(I472,"mmm")</f>
        <v>Mar</v>
      </c>
      <c r="P472">
        <f>MONTH(I472)</f>
        <v>3</v>
      </c>
      <c r="Q472">
        <f>YEAR(I472)</f>
        <v>2022</v>
      </c>
      <c r="R472" t="str">
        <f>IF(K472&gt;=5000,"High Value","Regular")</f>
        <v>Regular</v>
      </c>
      <c r="S472" t="str">
        <f>IF(F472&gt;=4,"Bulk Order","Normal Order")</f>
        <v>Normal Order</v>
      </c>
    </row>
    <row r="473" spans="1:19" x14ac:dyDescent="0.3">
      <c r="A473" t="s">
        <v>74</v>
      </c>
      <c r="B473" t="s">
        <v>73</v>
      </c>
      <c r="C473" t="s">
        <v>3</v>
      </c>
      <c r="D473">
        <v>38</v>
      </c>
      <c r="E473" t="s">
        <v>2</v>
      </c>
      <c r="F473">
        <v>1</v>
      </c>
      <c r="G473">
        <v>35.840000000000003</v>
      </c>
      <c r="H473" t="s">
        <v>1</v>
      </c>
      <c r="I473" s="1">
        <v>44612</v>
      </c>
      <c r="J473" t="s">
        <v>28</v>
      </c>
      <c r="K473">
        <f>F473*G473</f>
        <v>35.840000000000003</v>
      </c>
      <c r="L473" t="str">
        <f>_xlfn.IFS(D473&lt;20,"Below 20",D473&lt;=30,"20-30",D473&lt;=40,"31-40",D473&lt;=50,"41-50",D473&lt;=60,"51-60",TRUE,"60+")</f>
        <v>31-40</v>
      </c>
      <c r="M473" t="str">
        <f>_xlfn.IFS(K473&lt;500,"Low Spend",K473&lt;=2000,"Medium Spend",K473&lt;=5000,"High Spend",TRUE,"Premium Spend")</f>
        <v>Low Spend</v>
      </c>
      <c r="N473" t="str">
        <f>_xlfn.IFS(F473=1,"1 Item",F473&lt;=3,"2-3 Items",F473&lt;=5,"4-5 Items",TRUE,"6+ Items")</f>
        <v>1 Item</v>
      </c>
      <c r="O473" t="str">
        <f>TEXT(I473,"mmm")</f>
        <v>Feb</v>
      </c>
      <c r="P473">
        <f>MONTH(I473)</f>
        <v>2</v>
      </c>
      <c r="Q473">
        <f>YEAR(I473)</f>
        <v>2022</v>
      </c>
      <c r="R473" t="str">
        <f>IF(K473&gt;=5000,"High Value","Regular")</f>
        <v>Regular</v>
      </c>
      <c r="S473" t="str">
        <f>IF(F473&gt;=4,"Bulk Order","Normal Order")</f>
        <v>Normal Order</v>
      </c>
    </row>
    <row r="474" spans="1:19" x14ac:dyDescent="0.3">
      <c r="A474" t="s">
        <v>72</v>
      </c>
      <c r="B474" t="s">
        <v>71</v>
      </c>
      <c r="C474" t="s">
        <v>3</v>
      </c>
      <c r="D474">
        <v>46</v>
      </c>
      <c r="E474" t="s">
        <v>8</v>
      </c>
      <c r="F474">
        <v>2</v>
      </c>
      <c r="G474">
        <v>600.16</v>
      </c>
      <c r="H474" t="s">
        <v>7</v>
      </c>
      <c r="I474" s="1">
        <v>44514</v>
      </c>
      <c r="J474" t="s">
        <v>11</v>
      </c>
      <c r="K474">
        <f>F474*G474</f>
        <v>1200.32</v>
      </c>
      <c r="L474" t="str">
        <f>_xlfn.IFS(D474&lt;20,"Below 20",D474&lt;=30,"20-30",D474&lt;=40,"31-40",D474&lt;=50,"41-50",D474&lt;=60,"51-60",TRUE,"60+")</f>
        <v>41-50</v>
      </c>
      <c r="M474" t="str">
        <f>_xlfn.IFS(K474&lt;500,"Low Spend",K474&lt;=2000,"Medium Spend",K474&lt;=5000,"High Spend",TRUE,"Premium Spend")</f>
        <v>Medium Spend</v>
      </c>
      <c r="N474" t="str">
        <f>_xlfn.IFS(F474=1,"1 Item",F474&lt;=3,"2-3 Items",F474&lt;=5,"4-5 Items",TRUE,"6+ Items")</f>
        <v>2-3 Items</v>
      </c>
      <c r="O474" t="str">
        <f>TEXT(I474,"mmm")</f>
        <v>Nov</v>
      </c>
      <c r="P474">
        <f>MONTH(I474)</f>
        <v>11</v>
      </c>
      <c r="Q474">
        <f>YEAR(I474)</f>
        <v>2021</v>
      </c>
      <c r="R474" t="str">
        <f>IF(K474&gt;=5000,"High Value","Regular")</f>
        <v>Regular</v>
      </c>
      <c r="S474" t="str">
        <f>IF(F474&gt;=4,"Bulk Order","Normal Order")</f>
        <v>Normal Order</v>
      </c>
    </row>
    <row r="475" spans="1:19" x14ac:dyDescent="0.3">
      <c r="A475" t="s">
        <v>70</v>
      </c>
      <c r="B475" t="s">
        <v>69</v>
      </c>
      <c r="C475" t="s">
        <v>12</v>
      </c>
      <c r="D475">
        <v>31</v>
      </c>
      <c r="E475" t="s">
        <v>19</v>
      </c>
      <c r="F475">
        <v>3</v>
      </c>
      <c r="G475">
        <v>121.98</v>
      </c>
      <c r="H475" t="s">
        <v>7</v>
      </c>
      <c r="I475" s="1">
        <v>44584</v>
      </c>
      <c r="J475" t="s">
        <v>68</v>
      </c>
      <c r="K475">
        <f>F475*G475</f>
        <v>365.94</v>
      </c>
      <c r="L475" t="str">
        <f>_xlfn.IFS(D475&lt;20,"Below 20",D475&lt;=30,"20-30",D475&lt;=40,"31-40",D475&lt;=50,"41-50",D475&lt;=60,"51-60",TRUE,"60+")</f>
        <v>31-40</v>
      </c>
      <c r="M475" t="str">
        <f>_xlfn.IFS(K475&lt;500,"Low Spend",K475&lt;=2000,"Medium Spend",K475&lt;=5000,"High Spend",TRUE,"Premium Spend")</f>
        <v>Low Spend</v>
      </c>
      <c r="N475" t="str">
        <f>_xlfn.IFS(F475=1,"1 Item",F475&lt;=3,"2-3 Items",F475&lt;=5,"4-5 Items",TRUE,"6+ Items")</f>
        <v>2-3 Items</v>
      </c>
      <c r="O475" t="str">
        <f>TEXT(I475,"mmm")</f>
        <v>Jan</v>
      </c>
      <c r="P475">
        <f>MONTH(I475)</f>
        <v>1</v>
      </c>
      <c r="Q475">
        <f>YEAR(I475)</f>
        <v>2022</v>
      </c>
      <c r="R475" t="str">
        <f>IF(K475&gt;=5000,"High Value","Regular")</f>
        <v>Regular</v>
      </c>
      <c r="S475" t="str">
        <f>IF(F475&gt;=4,"Bulk Order","Normal Order")</f>
        <v>Normal Order</v>
      </c>
    </row>
    <row r="476" spans="1:19" x14ac:dyDescent="0.3">
      <c r="A476" t="s">
        <v>67</v>
      </c>
      <c r="B476" t="s">
        <v>66</v>
      </c>
      <c r="C476" t="s">
        <v>12</v>
      </c>
      <c r="D476">
        <v>26</v>
      </c>
      <c r="E476" t="s">
        <v>8</v>
      </c>
      <c r="F476">
        <v>5</v>
      </c>
      <c r="G476">
        <v>1500.4</v>
      </c>
      <c r="H476" t="s">
        <v>15</v>
      </c>
      <c r="I476" s="1">
        <v>44212</v>
      </c>
      <c r="J476" t="s">
        <v>22</v>
      </c>
      <c r="K476">
        <f>F476*G476</f>
        <v>7502</v>
      </c>
      <c r="L476" t="str">
        <f>_xlfn.IFS(D476&lt;20,"Below 20",D476&lt;=30,"20-30",D476&lt;=40,"31-40",D476&lt;=50,"41-50",D476&lt;=60,"51-60",TRUE,"60+")</f>
        <v>20-30</v>
      </c>
      <c r="M476" t="str">
        <f>_xlfn.IFS(K476&lt;500,"Low Spend",K476&lt;=2000,"Medium Spend",K476&lt;=5000,"High Spend",TRUE,"Premium Spend")</f>
        <v>Premium Spend</v>
      </c>
      <c r="N476" t="str">
        <f>_xlfn.IFS(F476=1,"1 Item",F476&lt;=3,"2-3 Items",F476&lt;=5,"4-5 Items",TRUE,"6+ Items")</f>
        <v>4-5 Items</v>
      </c>
      <c r="O476" t="str">
        <f>TEXT(I476,"mmm")</f>
        <v>Jan</v>
      </c>
      <c r="P476">
        <f>MONTH(I476)</f>
        <v>1</v>
      </c>
      <c r="Q476">
        <f>YEAR(I476)</f>
        <v>2021</v>
      </c>
      <c r="R476" t="str">
        <f>IF(K476&gt;=5000,"High Value","Regular")</f>
        <v>High Value</v>
      </c>
      <c r="S476" t="str">
        <f>IF(F476&gt;=4,"Bulk Order","Normal Order")</f>
        <v>Bulk Order</v>
      </c>
    </row>
    <row r="477" spans="1:19" x14ac:dyDescent="0.3">
      <c r="A477" t="s">
        <v>65</v>
      </c>
      <c r="B477" t="s">
        <v>64</v>
      </c>
      <c r="C477" t="s">
        <v>3</v>
      </c>
      <c r="D477">
        <v>48</v>
      </c>
      <c r="E477" t="s">
        <v>19</v>
      </c>
      <c r="F477">
        <v>3</v>
      </c>
      <c r="G477">
        <v>121.98</v>
      </c>
      <c r="H477" t="s">
        <v>15</v>
      </c>
      <c r="I477" s="1">
        <v>44653</v>
      </c>
      <c r="J477" t="s">
        <v>22</v>
      </c>
      <c r="K477">
        <f>F477*G477</f>
        <v>365.94</v>
      </c>
      <c r="L477" t="str">
        <f>_xlfn.IFS(D477&lt;20,"Below 20",D477&lt;=30,"20-30",D477&lt;=40,"31-40",D477&lt;=50,"41-50",D477&lt;=60,"51-60",TRUE,"60+")</f>
        <v>41-50</v>
      </c>
      <c r="M477" t="str">
        <f>_xlfn.IFS(K477&lt;500,"Low Spend",K477&lt;=2000,"Medium Spend",K477&lt;=5000,"High Spend",TRUE,"Premium Spend")</f>
        <v>Low Spend</v>
      </c>
      <c r="N477" t="str">
        <f>_xlfn.IFS(F477=1,"1 Item",F477&lt;=3,"2-3 Items",F477&lt;=5,"4-5 Items",TRUE,"6+ Items")</f>
        <v>2-3 Items</v>
      </c>
      <c r="O477" t="str">
        <f>TEXT(I477,"mmm")</f>
        <v>Apr</v>
      </c>
      <c r="P477">
        <f>MONTH(I477)</f>
        <v>4</v>
      </c>
      <c r="Q477">
        <f>YEAR(I477)</f>
        <v>2022</v>
      </c>
      <c r="R477" t="str">
        <f>IF(K477&gt;=5000,"High Value","Regular")</f>
        <v>Regular</v>
      </c>
      <c r="S477" t="str">
        <f>IF(F477&gt;=4,"Bulk Order","Normal Order")</f>
        <v>Normal Order</v>
      </c>
    </row>
    <row r="478" spans="1:19" x14ac:dyDescent="0.3">
      <c r="A478" t="s">
        <v>63</v>
      </c>
      <c r="B478" t="s">
        <v>62</v>
      </c>
      <c r="C478" t="s">
        <v>12</v>
      </c>
      <c r="D478">
        <v>30</v>
      </c>
      <c r="E478" t="s">
        <v>61</v>
      </c>
      <c r="F478">
        <v>5</v>
      </c>
      <c r="G478">
        <v>75.75</v>
      </c>
      <c r="H478" t="s">
        <v>1</v>
      </c>
      <c r="I478" s="1">
        <v>44850</v>
      </c>
      <c r="J478" t="s">
        <v>28</v>
      </c>
      <c r="K478">
        <f>F478*G478</f>
        <v>378.75</v>
      </c>
      <c r="L478" t="str">
        <f>_xlfn.IFS(D478&lt;20,"Below 20",D478&lt;=30,"20-30",D478&lt;=40,"31-40",D478&lt;=50,"41-50",D478&lt;=60,"51-60",TRUE,"60+")</f>
        <v>20-30</v>
      </c>
      <c r="M478" t="str">
        <f>_xlfn.IFS(K478&lt;500,"Low Spend",K478&lt;=2000,"Medium Spend",K478&lt;=5000,"High Spend",TRUE,"Premium Spend")</f>
        <v>Low Spend</v>
      </c>
      <c r="N478" t="str">
        <f>_xlfn.IFS(F478=1,"1 Item",F478&lt;=3,"2-3 Items",F478&lt;=5,"4-5 Items",TRUE,"6+ Items")</f>
        <v>4-5 Items</v>
      </c>
      <c r="O478" t="str">
        <f>TEXT(I478,"mmm")</f>
        <v>Oct</v>
      </c>
      <c r="P478">
        <f>MONTH(I478)</f>
        <v>10</v>
      </c>
      <c r="Q478">
        <f>YEAR(I478)</f>
        <v>2022</v>
      </c>
      <c r="R478" t="str">
        <f>IF(K478&gt;=5000,"High Value","Regular")</f>
        <v>Regular</v>
      </c>
      <c r="S478" t="str">
        <f>IF(F478&gt;=4,"Bulk Order","Normal Order")</f>
        <v>Bulk Order</v>
      </c>
    </row>
    <row r="479" spans="1:19" x14ac:dyDescent="0.3">
      <c r="A479" t="s">
        <v>60</v>
      </c>
      <c r="B479" t="s">
        <v>59</v>
      </c>
      <c r="C479" t="s">
        <v>12</v>
      </c>
      <c r="D479">
        <v>56</v>
      </c>
      <c r="E479" t="s">
        <v>8</v>
      </c>
      <c r="F479">
        <v>1</v>
      </c>
      <c r="G479">
        <v>300.08</v>
      </c>
      <c r="H479" t="s">
        <v>15</v>
      </c>
      <c r="I479" s="1">
        <v>44944</v>
      </c>
      <c r="J479" t="s">
        <v>28</v>
      </c>
      <c r="K479">
        <f>F479*G479</f>
        <v>300.08</v>
      </c>
      <c r="L479" t="str">
        <f>_xlfn.IFS(D479&lt;20,"Below 20",D479&lt;=30,"20-30",D479&lt;=40,"31-40",D479&lt;=50,"41-50",D479&lt;=60,"51-60",TRUE,"60+")</f>
        <v>51-60</v>
      </c>
      <c r="M479" t="str">
        <f>_xlfn.IFS(K479&lt;500,"Low Spend",K479&lt;=2000,"Medium Spend",K479&lt;=5000,"High Spend",TRUE,"Premium Spend")</f>
        <v>Low Spend</v>
      </c>
      <c r="N479" t="str">
        <f>_xlfn.IFS(F479=1,"1 Item",F479&lt;=3,"2-3 Items",F479&lt;=5,"4-5 Items",TRUE,"6+ Items")</f>
        <v>1 Item</v>
      </c>
      <c r="O479" t="str">
        <f>TEXT(I479,"mmm")</f>
        <v>Jan</v>
      </c>
      <c r="P479">
        <f>MONTH(I479)</f>
        <v>1</v>
      </c>
      <c r="Q479">
        <f>YEAR(I479)</f>
        <v>2023</v>
      </c>
      <c r="R479" t="str">
        <f>IF(K479&gt;=5000,"High Value","Regular")</f>
        <v>Regular</v>
      </c>
      <c r="S479" t="str">
        <f>IF(F479&gt;=4,"Bulk Order","Normal Order")</f>
        <v>Normal Order</v>
      </c>
    </row>
    <row r="480" spans="1:19" x14ac:dyDescent="0.3">
      <c r="A480" t="s">
        <v>58</v>
      </c>
      <c r="B480" t="s">
        <v>57</v>
      </c>
      <c r="C480" t="s">
        <v>12</v>
      </c>
      <c r="D480">
        <v>65</v>
      </c>
      <c r="E480" t="s">
        <v>16</v>
      </c>
      <c r="F480">
        <v>2</v>
      </c>
      <c r="G480">
        <v>10.46</v>
      </c>
      <c r="H480" t="s">
        <v>15</v>
      </c>
      <c r="I480" s="1">
        <v>44831</v>
      </c>
      <c r="J480" t="s">
        <v>11</v>
      </c>
      <c r="K480">
        <f>F480*G480</f>
        <v>20.92</v>
      </c>
      <c r="L480" t="str">
        <f>_xlfn.IFS(D480&lt;20,"Below 20",D480&lt;=30,"20-30",D480&lt;=40,"31-40",D480&lt;=50,"41-50",D480&lt;=60,"51-60",TRUE,"60+")</f>
        <v>60+</v>
      </c>
      <c r="M480" t="str">
        <f>_xlfn.IFS(K480&lt;500,"Low Spend",K480&lt;=2000,"Medium Spend",K480&lt;=5000,"High Spend",TRUE,"Premium Spend")</f>
        <v>Low Spend</v>
      </c>
      <c r="N480" t="str">
        <f>_xlfn.IFS(F480=1,"1 Item",F480&lt;=3,"2-3 Items",F480&lt;=5,"4-5 Items",TRUE,"6+ Items")</f>
        <v>2-3 Items</v>
      </c>
      <c r="O480" t="str">
        <f>TEXT(I480,"mmm")</f>
        <v>Sep</v>
      </c>
      <c r="P480">
        <f>MONTH(I480)</f>
        <v>9</v>
      </c>
      <c r="Q480">
        <f>YEAR(I480)</f>
        <v>2022</v>
      </c>
      <c r="R480" t="str">
        <f>IF(K480&gt;=5000,"High Value","Regular")</f>
        <v>Regular</v>
      </c>
      <c r="S480" t="str">
        <f>IF(F480&gt;=4,"Bulk Order","Normal Order")</f>
        <v>Normal Order</v>
      </c>
    </row>
    <row r="481" spans="1:19" x14ac:dyDescent="0.3">
      <c r="A481" t="s">
        <v>56</v>
      </c>
      <c r="B481" t="s">
        <v>55</v>
      </c>
      <c r="C481" t="s">
        <v>3</v>
      </c>
      <c r="D481">
        <v>53</v>
      </c>
      <c r="E481" t="s">
        <v>8</v>
      </c>
      <c r="F481">
        <v>2</v>
      </c>
      <c r="G481">
        <v>600.16</v>
      </c>
      <c r="H481" t="s">
        <v>1</v>
      </c>
      <c r="I481" s="1">
        <v>44592</v>
      </c>
      <c r="J481" t="s">
        <v>22</v>
      </c>
      <c r="K481">
        <f>F481*G481</f>
        <v>1200.32</v>
      </c>
      <c r="L481" t="str">
        <f>_xlfn.IFS(D481&lt;20,"Below 20",D481&lt;=30,"20-30",D481&lt;=40,"31-40",D481&lt;=50,"41-50",D481&lt;=60,"51-60",TRUE,"60+")</f>
        <v>51-60</v>
      </c>
      <c r="M481" t="str">
        <f>_xlfn.IFS(K481&lt;500,"Low Spend",K481&lt;=2000,"Medium Spend",K481&lt;=5000,"High Spend",TRUE,"Premium Spend")</f>
        <v>Medium Spend</v>
      </c>
      <c r="N481" t="str">
        <f>_xlfn.IFS(F481=1,"1 Item",F481&lt;=3,"2-3 Items",F481&lt;=5,"4-5 Items",TRUE,"6+ Items")</f>
        <v>2-3 Items</v>
      </c>
      <c r="O481" t="str">
        <f>TEXT(I481,"mmm")</f>
        <v>Jan</v>
      </c>
      <c r="P481">
        <f>MONTH(I481)</f>
        <v>1</v>
      </c>
      <c r="Q481">
        <f>YEAR(I481)</f>
        <v>2022</v>
      </c>
      <c r="R481" t="str">
        <f>IF(K481&gt;=5000,"High Value","Regular")</f>
        <v>Regular</v>
      </c>
      <c r="S481" t="str">
        <f>IF(F481&gt;=4,"Bulk Order","Normal Order")</f>
        <v>Normal Order</v>
      </c>
    </row>
    <row r="482" spans="1:19" x14ac:dyDescent="0.3">
      <c r="A482" t="s">
        <v>54</v>
      </c>
      <c r="B482" t="s">
        <v>53</v>
      </c>
      <c r="C482" t="s">
        <v>3</v>
      </c>
      <c r="D482">
        <v>43</v>
      </c>
      <c r="E482" t="s">
        <v>8</v>
      </c>
      <c r="F482">
        <v>3</v>
      </c>
      <c r="G482">
        <v>900.24</v>
      </c>
      <c r="H482" t="s">
        <v>15</v>
      </c>
      <c r="I482" s="1">
        <v>44905</v>
      </c>
      <c r="J482" t="s">
        <v>28</v>
      </c>
      <c r="K482">
        <f>F482*G482</f>
        <v>2700.7200000000003</v>
      </c>
      <c r="L482" t="str">
        <f>_xlfn.IFS(D482&lt;20,"Below 20",D482&lt;=30,"20-30",D482&lt;=40,"31-40",D482&lt;=50,"41-50",D482&lt;=60,"51-60",TRUE,"60+")</f>
        <v>41-50</v>
      </c>
      <c r="M482" t="str">
        <f>_xlfn.IFS(K482&lt;500,"Low Spend",K482&lt;=2000,"Medium Spend",K482&lt;=5000,"High Spend",TRUE,"Premium Spend")</f>
        <v>High Spend</v>
      </c>
      <c r="N482" t="str">
        <f>_xlfn.IFS(F482=1,"1 Item",F482&lt;=3,"2-3 Items",F482&lt;=5,"4-5 Items",TRUE,"6+ Items")</f>
        <v>2-3 Items</v>
      </c>
      <c r="O482" t="str">
        <f>TEXT(I482,"mmm")</f>
        <v>Dec</v>
      </c>
      <c r="P482">
        <f>MONTH(I482)</f>
        <v>12</v>
      </c>
      <c r="Q482">
        <f>YEAR(I482)</f>
        <v>2022</v>
      </c>
      <c r="R482" t="str">
        <f>IF(K482&gt;=5000,"High Value","Regular")</f>
        <v>Regular</v>
      </c>
      <c r="S482" t="str">
        <f>IF(F482&gt;=4,"Bulk Order","Normal Order")</f>
        <v>Normal Order</v>
      </c>
    </row>
    <row r="483" spans="1:19" x14ac:dyDescent="0.3">
      <c r="A483" t="s">
        <v>52</v>
      </c>
      <c r="B483" t="s">
        <v>51</v>
      </c>
      <c r="C483" t="s">
        <v>12</v>
      </c>
      <c r="D483">
        <v>26</v>
      </c>
      <c r="E483" t="s">
        <v>16</v>
      </c>
      <c r="F483">
        <v>2</v>
      </c>
      <c r="G483">
        <v>10.46</v>
      </c>
      <c r="H483" t="s">
        <v>15</v>
      </c>
      <c r="I483" s="1">
        <v>44659</v>
      </c>
      <c r="J483" t="s">
        <v>11</v>
      </c>
      <c r="K483">
        <f>F483*G483</f>
        <v>20.92</v>
      </c>
      <c r="L483" t="str">
        <f>_xlfn.IFS(D483&lt;20,"Below 20",D483&lt;=30,"20-30",D483&lt;=40,"31-40",D483&lt;=50,"41-50",D483&lt;=60,"51-60",TRUE,"60+")</f>
        <v>20-30</v>
      </c>
      <c r="M483" t="str">
        <f>_xlfn.IFS(K483&lt;500,"Low Spend",K483&lt;=2000,"Medium Spend",K483&lt;=5000,"High Spend",TRUE,"Premium Spend")</f>
        <v>Low Spend</v>
      </c>
      <c r="N483" t="str">
        <f>_xlfn.IFS(F483=1,"1 Item",F483&lt;=3,"2-3 Items",F483&lt;=5,"4-5 Items",TRUE,"6+ Items")</f>
        <v>2-3 Items</v>
      </c>
      <c r="O483" t="str">
        <f>TEXT(I483,"mmm")</f>
        <v>Apr</v>
      </c>
      <c r="P483">
        <f>MONTH(I483)</f>
        <v>4</v>
      </c>
      <c r="Q483">
        <f>YEAR(I483)</f>
        <v>2022</v>
      </c>
      <c r="R483" t="str">
        <f>IF(K483&gt;=5000,"High Value","Regular")</f>
        <v>Regular</v>
      </c>
      <c r="S483" t="str">
        <f>IF(F483&gt;=4,"Bulk Order","Normal Order")</f>
        <v>Normal Order</v>
      </c>
    </row>
    <row r="484" spans="1:19" x14ac:dyDescent="0.3">
      <c r="A484" t="s">
        <v>50</v>
      </c>
      <c r="B484" t="s">
        <v>49</v>
      </c>
      <c r="C484" t="s">
        <v>12</v>
      </c>
      <c r="D484">
        <v>23</v>
      </c>
      <c r="E484" t="s">
        <v>8</v>
      </c>
      <c r="F484">
        <v>5</v>
      </c>
      <c r="G484">
        <v>1500.4</v>
      </c>
      <c r="H484" t="s">
        <v>7</v>
      </c>
      <c r="I484" s="1">
        <v>44778</v>
      </c>
      <c r="J484" t="s">
        <v>11</v>
      </c>
      <c r="K484">
        <f>F484*G484</f>
        <v>7502</v>
      </c>
      <c r="L484" t="str">
        <f>_xlfn.IFS(D484&lt;20,"Below 20",D484&lt;=30,"20-30",D484&lt;=40,"31-40",D484&lt;=50,"41-50",D484&lt;=60,"51-60",TRUE,"60+")</f>
        <v>20-30</v>
      </c>
      <c r="M484" t="str">
        <f>_xlfn.IFS(K484&lt;500,"Low Spend",K484&lt;=2000,"Medium Spend",K484&lt;=5000,"High Spend",TRUE,"Premium Spend")</f>
        <v>Premium Spend</v>
      </c>
      <c r="N484" t="str">
        <f>_xlfn.IFS(F484=1,"1 Item",F484&lt;=3,"2-3 Items",F484&lt;=5,"4-5 Items",TRUE,"6+ Items")</f>
        <v>4-5 Items</v>
      </c>
      <c r="O484" t="str">
        <f>TEXT(I484,"mmm")</f>
        <v>Aug</v>
      </c>
      <c r="P484">
        <f>MONTH(I484)</f>
        <v>8</v>
      </c>
      <c r="Q484">
        <f>YEAR(I484)</f>
        <v>2022</v>
      </c>
      <c r="R484" t="str">
        <f>IF(K484&gt;=5000,"High Value","Regular")</f>
        <v>High Value</v>
      </c>
      <c r="S484" t="str">
        <f>IF(F484&gt;=4,"Bulk Order","Normal Order")</f>
        <v>Bulk Order</v>
      </c>
    </row>
    <row r="485" spans="1:19" x14ac:dyDescent="0.3">
      <c r="A485" t="s">
        <v>48</v>
      </c>
      <c r="B485" t="s">
        <v>47</v>
      </c>
      <c r="C485" t="s">
        <v>3</v>
      </c>
      <c r="D485">
        <v>54</v>
      </c>
      <c r="E485" t="s">
        <v>31</v>
      </c>
      <c r="F485">
        <v>4</v>
      </c>
      <c r="G485">
        <v>2400.6799999999998</v>
      </c>
      <c r="H485" t="s">
        <v>1</v>
      </c>
      <c r="I485" s="1">
        <v>44933</v>
      </c>
      <c r="J485" t="s">
        <v>11</v>
      </c>
      <c r="K485">
        <f>F485*G485</f>
        <v>9602.7199999999993</v>
      </c>
      <c r="L485" t="str">
        <f>_xlfn.IFS(D485&lt;20,"Below 20",D485&lt;=30,"20-30",D485&lt;=40,"31-40",D485&lt;=50,"41-50",D485&lt;=60,"51-60",TRUE,"60+")</f>
        <v>51-60</v>
      </c>
      <c r="M485" t="str">
        <f>_xlfn.IFS(K485&lt;500,"Low Spend",K485&lt;=2000,"Medium Spend",K485&lt;=5000,"High Spend",TRUE,"Premium Spend")</f>
        <v>Premium Spend</v>
      </c>
      <c r="N485" t="str">
        <f>_xlfn.IFS(F485=1,"1 Item",F485&lt;=3,"2-3 Items",F485&lt;=5,"4-5 Items",TRUE,"6+ Items")</f>
        <v>4-5 Items</v>
      </c>
      <c r="O485" t="str">
        <f>TEXT(I485,"mmm")</f>
        <v>Jan</v>
      </c>
      <c r="P485">
        <f>MONTH(I485)</f>
        <v>1</v>
      </c>
      <c r="Q485">
        <f>YEAR(I485)</f>
        <v>2023</v>
      </c>
      <c r="R485" t="str">
        <f>IF(K485&gt;=5000,"High Value","Regular")</f>
        <v>High Value</v>
      </c>
      <c r="S485" t="str">
        <f>IF(F485&gt;=4,"Bulk Order","Normal Order")</f>
        <v>Bulk Order</v>
      </c>
    </row>
    <row r="486" spans="1:19" x14ac:dyDescent="0.3">
      <c r="A486" t="s">
        <v>46</v>
      </c>
      <c r="B486" t="s">
        <v>45</v>
      </c>
      <c r="C486" t="s">
        <v>12</v>
      </c>
      <c r="D486">
        <v>56</v>
      </c>
      <c r="E486" t="s">
        <v>8</v>
      </c>
      <c r="F486">
        <v>4</v>
      </c>
      <c r="G486">
        <v>1200.32</v>
      </c>
      <c r="H486" t="s">
        <v>15</v>
      </c>
      <c r="I486" s="1">
        <v>44375</v>
      </c>
      <c r="J486" t="s">
        <v>28</v>
      </c>
      <c r="K486">
        <f>F486*G486</f>
        <v>4801.28</v>
      </c>
      <c r="L486" t="str">
        <f>_xlfn.IFS(D486&lt;20,"Below 20",D486&lt;=30,"20-30",D486&lt;=40,"31-40",D486&lt;=50,"41-50",D486&lt;=60,"51-60",TRUE,"60+")</f>
        <v>51-60</v>
      </c>
      <c r="M486" t="str">
        <f>_xlfn.IFS(K486&lt;500,"Low Spend",K486&lt;=2000,"Medium Spend",K486&lt;=5000,"High Spend",TRUE,"Premium Spend")</f>
        <v>High Spend</v>
      </c>
      <c r="N486" t="str">
        <f>_xlfn.IFS(F486=1,"1 Item",F486&lt;=3,"2-3 Items",F486&lt;=5,"4-5 Items",TRUE,"6+ Items")</f>
        <v>4-5 Items</v>
      </c>
      <c r="O486" t="str">
        <f>TEXT(I486,"mmm")</f>
        <v>Jun</v>
      </c>
      <c r="P486">
        <f>MONTH(I486)</f>
        <v>6</v>
      </c>
      <c r="Q486">
        <f>YEAR(I486)</f>
        <v>2021</v>
      </c>
      <c r="R486" t="str">
        <f>IF(K486&gt;=5000,"High Value","Regular")</f>
        <v>Regular</v>
      </c>
      <c r="S486" t="str">
        <f>IF(F486&gt;=4,"Bulk Order","Normal Order")</f>
        <v>Bulk Order</v>
      </c>
    </row>
    <row r="487" spans="1:19" x14ac:dyDescent="0.3">
      <c r="A487" t="s">
        <v>44</v>
      </c>
      <c r="B487" t="s">
        <v>43</v>
      </c>
      <c r="C487" t="s">
        <v>3</v>
      </c>
      <c r="D487">
        <v>37</v>
      </c>
      <c r="E487" t="s">
        <v>2</v>
      </c>
      <c r="F487">
        <v>2</v>
      </c>
      <c r="G487">
        <v>71.680000000000007</v>
      </c>
      <c r="H487" t="s">
        <v>15</v>
      </c>
      <c r="I487" s="1">
        <v>44716</v>
      </c>
      <c r="J487" t="s">
        <v>22</v>
      </c>
      <c r="K487">
        <f>F487*G487</f>
        <v>143.36000000000001</v>
      </c>
      <c r="L487" t="str">
        <f>_xlfn.IFS(D487&lt;20,"Below 20",D487&lt;=30,"20-30",D487&lt;=40,"31-40",D487&lt;=50,"41-50",D487&lt;=60,"51-60",TRUE,"60+")</f>
        <v>31-40</v>
      </c>
      <c r="M487" t="str">
        <f>_xlfn.IFS(K487&lt;500,"Low Spend",K487&lt;=2000,"Medium Spend",K487&lt;=5000,"High Spend",TRUE,"Premium Spend")</f>
        <v>Low Spend</v>
      </c>
      <c r="N487" t="str">
        <f>_xlfn.IFS(F487=1,"1 Item",F487&lt;=3,"2-3 Items",F487&lt;=5,"4-5 Items",TRUE,"6+ Items")</f>
        <v>2-3 Items</v>
      </c>
      <c r="O487" t="str">
        <f>TEXT(I487,"mmm")</f>
        <v>Jun</v>
      </c>
      <c r="P487">
        <f>MONTH(I487)</f>
        <v>6</v>
      </c>
      <c r="Q487">
        <f>YEAR(I487)</f>
        <v>2022</v>
      </c>
      <c r="R487" t="str">
        <f>IF(K487&gt;=5000,"High Value","Regular")</f>
        <v>Regular</v>
      </c>
      <c r="S487" t="str">
        <f>IF(F487&gt;=4,"Bulk Order","Normal Order")</f>
        <v>Normal Order</v>
      </c>
    </row>
    <row r="488" spans="1:19" x14ac:dyDescent="0.3">
      <c r="A488" t="s">
        <v>42</v>
      </c>
      <c r="B488" t="s">
        <v>41</v>
      </c>
      <c r="C488" t="s">
        <v>12</v>
      </c>
      <c r="D488">
        <v>48</v>
      </c>
      <c r="E488" t="s">
        <v>8</v>
      </c>
      <c r="F488">
        <v>3</v>
      </c>
      <c r="G488">
        <v>900.24</v>
      </c>
      <c r="H488" t="s">
        <v>7</v>
      </c>
      <c r="I488" s="1">
        <v>44402</v>
      </c>
      <c r="J488" t="s">
        <v>22</v>
      </c>
      <c r="K488">
        <f>F488*G488</f>
        <v>2700.7200000000003</v>
      </c>
      <c r="L488" t="str">
        <f>_xlfn.IFS(D488&lt;20,"Below 20",D488&lt;=30,"20-30",D488&lt;=40,"31-40",D488&lt;=50,"41-50",D488&lt;=60,"51-60",TRUE,"60+")</f>
        <v>41-50</v>
      </c>
      <c r="M488" t="str">
        <f>_xlfn.IFS(K488&lt;500,"Low Spend",K488&lt;=2000,"Medium Spend",K488&lt;=5000,"High Spend",TRUE,"Premium Spend")</f>
        <v>High Spend</v>
      </c>
      <c r="N488" t="str">
        <f>_xlfn.IFS(F488=1,"1 Item",F488&lt;=3,"2-3 Items",F488&lt;=5,"4-5 Items",TRUE,"6+ Items")</f>
        <v>2-3 Items</v>
      </c>
      <c r="O488" t="str">
        <f>TEXT(I488,"mmm")</f>
        <v>Jul</v>
      </c>
      <c r="P488">
        <f>MONTH(I488)</f>
        <v>7</v>
      </c>
      <c r="Q488">
        <f>YEAR(I488)</f>
        <v>2021</v>
      </c>
      <c r="R488" t="str">
        <f>IF(K488&gt;=5000,"High Value","Regular")</f>
        <v>Regular</v>
      </c>
      <c r="S488" t="str">
        <f>IF(F488&gt;=4,"Bulk Order","Normal Order")</f>
        <v>Normal Order</v>
      </c>
    </row>
    <row r="489" spans="1:19" x14ac:dyDescent="0.3">
      <c r="A489" t="s">
        <v>40</v>
      </c>
      <c r="B489" t="s">
        <v>39</v>
      </c>
      <c r="C489" t="s">
        <v>12</v>
      </c>
      <c r="D489">
        <v>56</v>
      </c>
      <c r="E489" t="s">
        <v>16</v>
      </c>
      <c r="F489">
        <v>2</v>
      </c>
      <c r="G489">
        <v>10.46</v>
      </c>
      <c r="H489" t="s">
        <v>7</v>
      </c>
      <c r="I489" s="1">
        <v>44241</v>
      </c>
      <c r="J489" t="s">
        <v>38</v>
      </c>
      <c r="K489">
        <f>F489*G489</f>
        <v>20.92</v>
      </c>
      <c r="L489" t="str">
        <f>_xlfn.IFS(D489&lt;20,"Below 20",D489&lt;=30,"20-30",D489&lt;=40,"31-40",D489&lt;=50,"41-50",D489&lt;=60,"51-60",TRUE,"60+")</f>
        <v>51-60</v>
      </c>
      <c r="M489" t="str">
        <f>_xlfn.IFS(K489&lt;500,"Low Spend",K489&lt;=2000,"Medium Spend",K489&lt;=5000,"High Spend",TRUE,"Premium Spend")</f>
        <v>Low Spend</v>
      </c>
      <c r="N489" t="str">
        <f>_xlfn.IFS(F489=1,"1 Item",F489&lt;=3,"2-3 Items",F489&lt;=5,"4-5 Items",TRUE,"6+ Items")</f>
        <v>2-3 Items</v>
      </c>
      <c r="O489" t="str">
        <f>TEXT(I489,"mmm")</f>
        <v>Feb</v>
      </c>
      <c r="P489">
        <f>MONTH(I489)</f>
        <v>2</v>
      </c>
      <c r="Q489">
        <f>YEAR(I489)</f>
        <v>2021</v>
      </c>
      <c r="R489" t="str">
        <f>IF(K489&gt;=5000,"High Value","Regular")</f>
        <v>Regular</v>
      </c>
      <c r="S489" t="str">
        <f>IF(F489&gt;=4,"Bulk Order","Normal Order")</f>
        <v>Normal Order</v>
      </c>
    </row>
    <row r="490" spans="1:19" x14ac:dyDescent="0.3">
      <c r="A490" t="s">
        <v>37</v>
      </c>
      <c r="B490" t="s">
        <v>36</v>
      </c>
      <c r="C490" t="s">
        <v>3</v>
      </c>
      <c r="D490">
        <v>58</v>
      </c>
      <c r="E490" t="s">
        <v>23</v>
      </c>
      <c r="F490">
        <v>2</v>
      </c>
      <c r="G490">
        <v>23.46</v>
      </c>
      <c r="H490" t="s">
        <v>15</v>
      </c>
      <c r="I490" s="1">
        <v>44770</v>
      </c>
      <c r="J490" t="s">
        <v>28</v>
      </c>
      <c r="K490">
        <f>F490*G490</f>
        <v>46.92</v>
      </c>
      <c r="L490" t="str">
        <f>_xlfn.IFS(D490&lt;20,"Below 20",D490&lt;=30,"20-30",D490&lt;=40,"31-40",D490&lt;=50,"41-50",D490&lt;=60,"51-60",TRUE,"60+")</f>
        <v>51-60</v>
      </c>
      <c r="M490" t="str">
        <f>_xlfn.IFS(K490&lt;500,"Low Spend",K490&lt;=2000,"Medium Spend",K490&lt;=5000,"High Spend",TRUE,"Premium Spend")</f>
        <v>Low Spend</v>
      </c>
      <c r="N490" t="str">
        <f>_xlfn.IFS(F490=1,"1 Item",F490&lt;=3,"2-3 Items",F490&lt;=5,"4-5 Items",TRUE,"6+ Items")</f>
        <v>2-3 Items</v>
      </c>
      <c r="O490" t="str">
        <f>TEXT(I490,"mmm")</f>
        <v>Jul</v>
      </c>
      <c r="P490">
        <f>MONTH(I490)</f>
        <v>7</v>
      </c>
      <c r="Q490">
        <f>YEAR(I490)</f>
        <v>2022</v>
      </c>
      <c r="R490" t="str">
        <f>IF(K490&gt;=5000,"High Value","Regular")</f>
        <v>Regular</v>
      </c>
      <c r="S490" t="str">
        <f>IF(F490&gt;=4,"Bulk Order","Normal Order")</f>
        <v>Normal Order</v>
      </c>
    </row>
    <row r="491" spans="1:19" x14ac:dyDescent="0.3">
      <c r="A491" t="s">
        <v>35</v>
      </c>
      <c r="B491" t="s">
        <v>34</v>
      </c>
      <c r="C491" t="s">
        <v>3</v>
      </c>
      <c r="D491">
        <v>40</v>
      </c>
      <c r="E491" t="s">
        <v>16</v>
      </c>
      <c r="F491">
        <v>3</v>
      </c>
      <c r="G491">
        <v>15.69</v>
      </c>
      <c r="H491" t="s">
        <v>1</v>
      </c>
      <c r="I491" s="1">
        <v>44813</v>
      </c>
      <c r="J491" t="s">
        <v>28</v>
      </c>
      <c r="K491">
        <f>F491*G491</f>
        <v>47.07</v>
      </c>
      <c r="L491" t="str">
        <f>_xlfn.IFS(D491&lt;20,"Below 20",D491&lt;=30,"20-30",D491&lt;=40,"31-40",D491&lt;=50,"41-50",D491&lt;=60,"51-60",TRUE,"60+")</f>
        <v>31-40</v>
      </c>
      <c r="M491" t="str">
        <f>_xlfn.IFS(K491&lt;500,"Low Spend",K491&lt;=2000,"Medium Spend",K491&lt;=5000,"High Spend",TRUE,"Premium Spend")</f>
        <v>Low Spend</v>
      </c>
      <c r="N491" t="str">
        <f>_xlfn.IFS(F491=1,"1 Item",F491&lt;=3,"2-3 Items",F491&lt;=5,"4-5 Items",TRUE,"6+ Items")</f>
        <v>2-3 Items</v>
      </c>
      <c r="O491" t="str">
        <f>TEXT(I491,"mmm")</f>
        <v>Sep</v>
      </c>
      <c r="P491">
        <f>MONTH(I491)</f>
        <v>9</v>
      </c>
      <c r="Q491">
        <f>YEAR(I491)</f>
        <v>2022</v>
      </c>
      <c r="R491" t="str">
        <f>IF(K491&gt;=5000,"High Value","Regular")</f>
        <v>Regular</v>
      </c>
      <c r="S491" t="str">
        <f>IF(F491&gt;=4,"Bulk Order","Normal Order")</f>
        <v>Normal Order</v>
      </c>
    </row>
    <row r="492" spans="1:19" x14ac:dyDescent="0.3">
      <c r="A492" t="s">
        <v>33</v>
      </c>
      <c r="B492" t="s">
        <v>32</v>
      </c>
      <c r="C492" t="s">
        <v>3</v>
      </c>
      <c r="D492">
        <v>38</v>
      </c>
      <c r="E492" t="s">
        <v>31</v>
      </c>
      <c r="F492">
        <v>5</v>
      </c>
      <c r="G492">
        <v>3000.85</v>
      </c>
      <c r="H492" t="s">
        <v>7</v>
      </c>
      <c r="I492" s="1">
        <v>44639</v>
      </c>
      <c r="J492" t="s">
        <v>28</v>
      </c>
      <c r="K492">
        <f>F492*G492</f>
        <v>15004.25</v>
      </c>
      <c r="L492" t="str">
        <f>_xlfn.IFS(D492&lt;20,"Below 20",D492&lt;=30,"20-30",D492&lt;=40,"31-40",D492&lt;=50,"41-50",D492&lt;=60,"51-60",TRUE,"60+")</f>
        <v>31-40</v>
      </c>
      <c r="M492" t="str">
        <f>_xlfn.IFS(K492&lt;500,"Low Spend",K492&lt;=2000,"Medium Spend",K492&lt;=5000,"High Spend",TRUE,"Premium Spend")</f>
        <v>Premium Spend</v>
      </c>
      <c r="N492" t="str">
        <f>_xlfn.IFS(F492=1,"1 Item",F492&lt;=3,"2-3 Items",F492&lt;=5,"4-5 Items",TRUE,"6+ Items")</f>
        <v>4-5 Items</v>
      </c>
      <c r="O492" t="str">
        <f>TEXT(I492,"mmm")</f>
        <v>Mar</v>
      </c>
      <c r="P492">
        <f>MONTH(I492)</f>
        <v>3</v>
      </c>
      <c r="Q492">
        <f>YEAR(I492)</f>
        <v>2022</v>
      </c>
      <c r="R492" t="str">
        <f>IF(K492&gt;=5000,"High Value","Regular")</f>
        <v>High Value</v>
      </c>
      <c r="S492" t="str">
        <f>IF(F492&gt;=4,"Bulk Order","Normal Order")</f>
        <v>Bulk Order</v>
      </c>
    </row>
    <row r="493" spans="1:19" x14ac:dyDescent="0.3">
      <c r="A493" t="s">
        <v>30</v>
      </c>
      <c r="B493" t="s">
        <v>29</v>
      </c>
      <c r="C493" t="s">
        <v>3</v>
      </c>
      <c r="D493">
        <v>40</v>
      </c>
      <c r="E493" t="s">
        <v>19</v>
      </c>
      <c r="F493">
        <v>3</v>
      </c>
      <c r="G493">
        <v>121.98</v>
      </c>
      <c r="H493" t="s">
        <v>1</v>
      </c>
      <c r="I493" s="1">
        <v>44920</v>
      </c>
      <c r="J493" t="s">
        <v>28</v>
      </c>
      <c r="K493">
        <f>F493*G493</f>
        <v>365.94</v>
      </c>
      <c r="L493" t="str">
        <f>_xlfn.IFS(D493&lt;20,"Below 20",D493&lt;=30,"20-30",D493&lt;=40,"31-40",D493&lt;=50,"41-50",D493&lt;=60,"51-60",TRUE,"60+")</f>
        <v>31-40</v>
      </c>
      <c r="M493" t="str">
        <f>_xlfn.IFS(K493&lt;500,"Low Spend",K493&lt;=2000,"Medium Spend",K493&lt;=5000,"High Spend",TRUE,"Premium Spend")</f>
        <v>Low Spend</v>
      </c>
      <c r="N493" t="str">
        <f>_xlfn.IFS(F493=1,"1 Item",F493&lt;=3,"2-3 Items",F493&lt;=5,"4-5 Items",TRUE,"6+ Items")</f>
        <v>2-3 Items</v>
      </c>
      <c r="O493" t="str">
        <f>TEXT(I493,"mmm")</f>
        <v>Dec</v>
      </c>
      <c r="P493">
        <f>MONTH(I493)</f>
        <v>12</v>
      </c>
      <c r="Q493">
        <f>YEAR(I493)</f>
        <v>2022</v>
      </c>
      <c r="R493" t="str">
        <f>IF(K493&gt;=5000,"High Value","Regular")</f>
        <v>Regular</v>
      </c>
      <c r="S493" t="str">
        <f>IF(F493&gt;=4,"Bulk Order","Normal Order")</f>
        <v>Normal Order</v>
      </c>
    </row>
    <row r="494" spans="1:19" x14ac:dyDescent="0.3">
      <c r="A494" t="s">
        <v>27</v>
      </c>
      <c r="B494" t="s">
        <v>26</v>
      </c>
      <c r="C494" t="s">
        <v>12</v>
      </c>
      <c r="D494">
        <v>64</v>
      </c>
      <c r="E494" t="s">
        <v>2</v>
      </c>
      <c r="F494">
        <v>1</v>
      </c>
      <c r="G494">
        <v>35.840000000000003</v>
      </c>
      <c r="H494" t="s">
        <v>15</v>
      </c>
      <c r="I494" s="1">
        <v>44824</v>
      </c>
      <c r="J494" t="s">
        <v>22</v>
      </c>
      <c r="K494">
        <f>F494*G494</f>
        <v>35.840000000000003</v>
      </c>
      <c r="L494" t="str">
        <f>_xlfn.IFS(D494&lt;20,"Below 20",D494&lt;=30,"20-30",D494&lt;=40,"31-40",D494&lt;=50,"41-50",D494&lt;=60,"51-60",TRUE,"60+")</f>
        <v>60+</v>
      </c>
      <c r="M494" t="str">
        <f>_xlfn.IFS(K494&lt;500,"Low Spend",K494&lt;=2000,"Medium Spend",K494&lt;=5000,"High Spend",TRUE,"Premium Spend")</f>
        <v>Low Spend</v>
      </c>
      <c r="N494" t="str">
        <f>_xlfn.IFS(F494=1,"1 Item",F494&lt;=3,"2-3 Items",F494&lt;=5,"4-5 Items",TRUE,"6+ Items")</f>
        <v>1 Item</v>
      </c>
      <c r="O494" t="str">
        <f>TEXT(I494,"mmm")</f>
        <v>Sep</v>
      </c>
      <c r="P494">
        <f>MONTH(I494)</f>
        <v>9</v>
      </c>
      <c r="Q494">
        <f>YEAR(I494)</f>
        <v>2022</v>
      </c>
      <c r="R494" t="str">
        <f>IF(K494&gt;=5000,"High Value","Regular")</f>
        <v>Regular</v>
      </c>
      <c r="S494" t="str">
        <f>IF(F494&gt;=4,"Bulk Order","Normal Order")</f>
        <v>Normal Order</v>
      </c>
    </row>
    <row r="495" spans="1:19" x14ac:dyDescent="0.3">
      <c r="A495" t="s">
        <v>25</v>
      </c>
      <c r="B495" t="s">
        <v>24</v>
      </c>
      <c r="C495" t="s">
        <v>12</v>
      </c>
      <c r="D495">
        <v>28</v>
      </c>
      <c r="E495" t="s">
        <v>23</v>
      </c>
      <c r="F495">
        <v>5</v>
      </c>
      <c r="G495">
        <v>58.65</v>
      </c>
      <c r="H495" t="s">
        <v>7</v>
      </c>
      <c r="I495" s="1">
        <v>44663</v>
      </c>
      <c r="J495" t="s">
        <v>22</v>
      </c>
      <c r="K495">
        <f>F495*G495</f>
        <v>293.25</v>
      </c>
      <c r="L495" t="str">
        <f>_xlfn.IFS(D495&lt;20,"Below 20",D495&lt;=30,"20-30",D495&lt;=40,"31-40",D495&lt;=50,"41-50",D495&lt;=60,"51-60",TRUE,"60+")</f>
        <v>20-30</v>
      </c>
      <c r="M495" t="str">
        <f>_xlfn.IFS(K495&lt;500,"Low Spend",K495&lt;=2000,"Medium Spend",K495&lt;=5000,"High Spend",TRUE,"Premium Spend")</f>
        <v>Low Spend</v>
      </c>
      <c r="N495" t="str">
        <f>_xlfn.IFS(F495=1,"1 Item",F495&lt;=3,"2-3 Items",F495&lt;=5,"4-5 Items",TRUE,"6+ Items")</f>
        <v>4-5 Items</v>
      </c>
      <c r="O495" t="str">
        <f>TEXT(I495,"mmm")</f>
        <v>Apr</v>
      </c>
      <c r="P495">
        <f>MONTH(I495)</f>
        <v>4</v>
      </c>
      <c r="Q495">
        <f>YEAR(I495)</f>
        <v>2022</v>
      </c>
      <c r="R495" t="str">
        <f>IF(K495&gt;=5000,"High Value","Regular")</f>
        <v>Regular</v>
      </c>
      <c r="S495" t="str">
        <f>IF(F495&gt;=4,"Bulk Order","Normal Order")</f>
        <v>Bulk Order</v>
      </c>
    </row>
    <row r="496" spans="1:19" x14ac:dyDescent="0.3">
      <c r="A496" t="s">
        <v>21</v>
      </c>
      <c r="B496" t="s">
        <v>20</v>
      </c>
      <c r="C496" t="s">
        <v>12</v>
      </c>
      <c r="D496">
        <v>49</v>
      </c>
      <c r="E496" t="s">
        <v>19</v>
      </c>
      <c r="F496">
        <v>4</v>
      </c>
      <c r="G496">
        <v>162.63999999999999</v>
      </c>
      <c r="H496" t="s">
        <v>7</v>
      </c>
      <c r="I496" s="1">
        <v>44472</v>
      </c>
      <c r="J496" t="s">
        <v>6</v>
      </c>
      <c r="K496">
        <f>F496*G496</f>
        <v>650.55999999999995</v>
      </c>
      <c r="L496" t="str">
        <f>_xlfn.IFS(D496&lt;20,"Below 20",D496&lt;=30,"20-30",D496&lt;=40,"31-40",D496&lt;=50,"41-50",D496&lt;=60,"51-60",TRUE,"60+")</f>
        <v>41-50</v>
      </c>
      <c r="M496" t="str">
        <f>_xlfn.IFS(K496&lt;500,"Low Spend",K496&lt;=2000,"Medium Spend",K496&lt;=5000,"High Spend",TRUE,"Premium Spend")</f>
        <v>Medium Spend</v>
      </c>
      <c r="N496" t="str">
        <f>_xlfn.IFS(F496=1,"1 Item",F496&lt;=3,"2-3 Items",F496&lt;=5,"4-5 Items",TRUE,"6+ Items")</f>
        <v>4-5 Items</v>
      </c>
      <c r="O496" t="str">
        <f>TEXT(I496,"mmm")</f>
        <v>Oct</v>
      </c>
      <c r="P496">
        <f>MONTH(I496)</f>
        <v>10</v>
      </c>
      <c r="Q496">
        <f>YEAR(I496)</f>
        <v>2021</v>
      </c>
      <c r="R496" t="str">
        <f>IF(K496&gt;=5000,"High Value","Regular")</f>
        <v>Regular</v>
      </c>
      <c r="S496" t="str">
        <f>IF(F496&gt;=4,"Bulk Order","Normal Order")</f>
        <v>Bulk Order</v>
      </c>
    </row>
    <row r="497" spans="1:19" x14ac:dyDescent="0.3">
      <c r="A497" t="s">
        <v>18</v>
      </c>
      <c r="B497" t="s">
        <v>17</v>
      </c>
      <c r="C497" t="s">
        <v>12</v>
      </c>
      <c r="D497">
        <v>51</v>
      </c>
      <c r="E497" t="s">
        <v>16</v>
      </c>
      <c r="F497">
        <v>3</v>
      </c>
      <c r="G497">
        <v>15.69</v>
      </c>
      <c r="H497" t="s">
        <v>15</v>
      </c>
      <c r="I497" s="1">
        <v>44725</v>
      </c>
      <c r="J497" t="s">
        <v>11</v>
      </c>
      <c r="K497">
        <f>F497*G497</f>
        <v>47.07</v>
      </c>
      <c r="L497" t="str">
        <f>_xlfn.IFS(D497&lt;20,"Below 20",D497&lt;=30,"20-30",D497&lt;=40,"31-40",D497&lt;=50,"41-50",D497&lt;=60,"51-60",TRUE,"60+")</f>
        <v>51-60</v>
      </c>
      <c r="M497" t="str">
        <f>_xlfn.IFS(K497&lt;500,"Low Spend",K497&lt;=2000,"Medium Spend",K497&lt;=5000,"High Spend",TRUE,"Premium Spend")</f>
        <v>Low Spend</v>
      </c>
      <c r="N497" t="str">
        <f>_xlfn.IFS(F497=1,"1 Item",F497&lt;=3,"2-3 Items",F497&lt;=5,"4-5 Items",TRUE,"6+ Items")</f>
        <v>2-3 Items</v>
      </c>
      <c r="O497" t="str">
        <f>TEXT(I497,"mmm")</f>
        <v>Jun</v>
      </c>
      <c r="P497">
        <f>MONTH(I497)</f>
        <v>6</v>
      </c>
      <c r="Q497">
        <f>YEAR(I497)</f>
        <v>2022</v>
      </c>
      <c r="R497" t="str">
        <f>IF(K497&gt;=5000,"High Value","Regular")</f>
        <v>Regular</v>
      </c>
      <c r="S497" t="str">
        <f>IF(F497&gt;=4,"Bulk Order","Normal Order")</f>
        <v>Normal Order</v>
      </c>
    </row>
    <row r="498" spans="1:19" x14ac:dyDescent="0.3">
      <c r="A498" t="s">
        <v>14</v>
      </c>
      <c r="B498" t="s">
        <v>13</v>
      </c>
      <c r="C498" t="s">
        <v>12</v>
      </c>
      <c r="D498">
        <v>22</v>
      </c>
      <c r="E498" t="s">
        <v>8</v>
      </c>
      <c r="F498">
        <v>3</v>
      </c>
      <c r="G498">
        <v>900.24</v>
      </c>
      <c r="H498" t="s">
        <v>1</v>
      </c>
      <c r="I498" s="1">
        <v>44378</v>
      </c>
      <c r="J498" t="s">
        <v>11</v>
      </c>
      <c r="K498">
        <f>F498*G498</f>
        <v>2700.7200000000003</v>
      </c>
      <c r="L498" t="str">
        <f>_xlfn.IFS(D498&lt;20,"Below 20",D498&lt;=30,"20-30",D498&lt;=40,"31-40",D498&lt;=50,"41-50",D498&lt;=60,"51-60",TRUE,"60+")</f>
        <v>20-30</v>
      </c>
      <c r="M498" t="str">
        <f>_xlfn.IFS(K498&lt;500,"Low Spend",K498&lt;=2000,"Medium Spend",K498&lt;=5000,"High Spend",TRUE,"Premium Spend")</f>
        <v>High Spend</v>
      </c>
      <c r="N498" t="str">
        <f>_xlfn.IFS(F498=1,"1 Item",F498&lt;=3,"2-3 Items",F498&lt;=5,"4-5 Items",TRUE,"6+ Items")</f>
        <v>2-3 Items</v>
      </c>
      <c r="O498" t="str">
        <f>TEXT(I498,"mmm")</f>
        <v>Jul</v>
      </c>
      <c r="P498">
        <f>MONTH(I498)</f>
        <v>7</v>
      </c>
      <c r="Q498">
        <f>YEAR(I498)</f>
        <v>2021</v>
      </c>
      <c r="R498" t="str">
        <f>IF(K498&gt;=5000,"High Value","Regular")</f>
        <v>Regular</v>
      </c>
      <c r="S498" t="str">
        <f>IF(F498&gt;=4,"Bulk Order","Normal Order")</f>
        <v>Normal Order</v>
      </c>
    </row>
    <row r="499" spans="1:19" x14ac:dyDescent="0.3">
      <c r="A499" t="s">
        <v>10</v>
      </c>
      <c r="B499" t="s">
        <v>9</v>
      </c>
      <c r="C499" t="s">
        <v>3</v>
      </c>
      <c r="D499">
        <v>67</v>
      </c>
      <c r="E499" t="s">
        <v>8</v>
      </c>
      <c r="F499">
        <v>5</v>
      </c>
      <c r="G499">
        <v>1500.4</v>
      </c>
      <c r="H499" t="s">
        <v>7</v>
      </c>
      <c r="I499" s="1">
        <v>44750</v>
      </c>
      <c r="J499" t="s">
        <v>6</v>
      </c>
      <c r="K499">
        <f>F499*G499</f>
        <v>7502</v>
      </c>
      <c r="L499" t="str">
        <f>_xlfn.IFS(D499&lt;20,"Below 20",D499&lt;=30,"20-30",D499&lt;=40,"31-40",D499&lt;=50,"41-50",D499&lt;=60,"51-60",TRUE,"60+")</f>
        <v>60+</v>
      </c>
      <c r="M499" t="str">
        <f>_xlfn.IFS(K499&lt;500,"Low Spend",K499&lt;=2000,"Medium Spend",K499&lt;=5000,"High Spend",TRUE,"Premium Spend")</f>
        <v>Premium Spend</v>
      </c>
      <c r="N499" t="str">
        <f>_xlfn.IFS(F499=1,"1 Item",F499&lt;=3,"2-3 Items",F499&lt;=5,"4-5 Items",TRUE,"6+ Items")</f>
        <v>4-5 Items</v>
      </c>
      <c r="O499" t="str">
        <f>TEXT(I499,"mmm")</f>
        <v>Jul</v>
      </c>
      <c r="P499">
        <f>MONTH(I499)</f>
        <v>7</v>
      </c>
      <c r="Q499">
        <f>YEAR(I499)</f>
        <v>2022</v>
      </c>
      <c r="R499" t="str">
        <f>IF(K499&gt;=5000,"High Value","Regular")</f>
        <v>High Value</v>
      </c>
      <c r="S499" t="str">
        <f>IF(F499&gt;=4,"Bulk Order","Normal Order")</f>
        <v>Bulk Order</v>
      </c>
    </row>
    <row r="500" spans="1:19" x14ac:dyDescent="0.3">
      <c r="A500" t="s">
        <v>5</v>
      </c>
      <c r="B500" t="s">
        <v>4</v>
      </c>
      <c r="C500" t="s">
        <v>3</v>
      </c>
      <c r="D500">
        <v>22</v>
      </c>
      <c r="E500" t="s">
        <v>2</v>
      </c>
      <c r="F500">
        <v>2</v>
      </c>
      <c r="G500">
        <v>71.680000000000007</v>
      </c>
      <c r="H500" t="s">
        <v>1</v>
      </c>
      <c r="I500" s="1">
        <v>44594</v>
      </c>
      <c r="J500" t="s">
        <v>0</v>
      </c>
      <c r="K500">
        <f>F500*G500</f>
        <v>143.36000000000001</v>
      </c>
      <c r="L500" t="str">
        <f>_xlfn.IFS(D500&lt;20,"Below 20",D500&lt;=30,"20-30",D500&lt;=40,"31-40",D500&lt;=50,"41-50",D500&lt;=60,"51-60",TRUE,"60+")</f>
        <v>20-30</v>
      </c>
      <c r="M500" t="str">
        <f>_xlfn.IFS(K500&lt;500,"Low Spend",K500&lt;=2000,"Medium Spend",K500&lt;=5000,"High Spend",TRUE,"Premium Spend")</f>
        <v>Low Spend</v>
      </c>
      <c r="N500" t="str">
        <f>_xlfn.IFS(F500=1,"1 Item",F500&lt;=3,"2-3 Items",F500&lt;=5,"4-5 Items",TRUE,"6+ Items")</f>
        <v>2-3 Items</v>
      </c>
      <c r="O500" t="str">
        <f>TEXT(I500,"mmm")</f>
        <v>Feb</v>
      </c>
      <c r="P500">
        <f>MONTH(I500)</f>
        <v>2</v>
      </c>
      <c r="Q500">
        <f>YEAR(I500)</f>
        <v>2022</v>
      </c>
      <c r="R500" t="str">
        <f>IF(K500&gt;=5000,"High Value","Regular")</f>
        <v>Regular</v>
      </c>
      <c r="S500" t="str">
        <f>IF(F500&gt;=4,"Bulk Order","Normal Order")</f>
        <v>Normal Order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Prasath</dc:creator>
  <cp:lastModifiedBy>Indhu Prasath</cp:lastModifiedBy>
  <dcterms:created xsi:type="dcterms:W3CDTF">2026-06-20T18:12:07Z</dcterms:created>
  <dcterms:modified xsi:type="dcterms:W3CDTF">2026-06-20T18:12:20Z</dcterms:modified>
</cp:coreProperties>
</file>