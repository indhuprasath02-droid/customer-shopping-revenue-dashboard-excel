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dhu\Downloads\"/>
    </mc:Choice>
  </mc:AlternateContent>
  <xr:revisionPtr revIDLastSave="0" documentId="11_9FDC30118AD0CDE17F81CE03F86A0401A029A857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KPI_Data" sheetId="2" r:id="rId2"/>
    <sheet name="Chart_Data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<sst xmlns="http://schemas.openxmlformats.org/spreadsheetml/2006/main" count="123" uniqueCount="102">
  <si>
    <t xml:space="preserve">  CUSTOMER SHOPPING &amp; REVENUE DASHBOARD</t>
  </si>
  <si>
    <t>Retail Sales Performance   |   Customer Purchase Insights   |   Mall Revenue Analysis</t>
  </si>
  <si>
    <t>Total Orders</t>
  </si>
  <si>
    <t>Total Customers</t>
  </si>
  <si>
    <t>Total Revenue</t>
  </si>
  <si>
    <t>Avg Order Value</t>
  </si>
  <si>
    <t>Qty Sold</t>
  </si>
  <si>
    <t>Avg Customer Age</t>
  </si>
  <si>
    <t>499</t>
  </si>
  <si>
    <t>1.19M</t>
  </si>
  <si>
    <t>2,393</t>
  </si>
  <si>
    <t>1,530</t>
  </si>
  <si>
    <t>43 yrs</t>
  </si>
  <si>
    <t>━━━━━━━━━━━</t>
  </si>
  <si>
    <t xml:space="preserve">  SALES BY CATEGORY &amp; MALL</t>
  </si>
  <si>
    <t xml:space="preserve">  PAYMENT METHOD &amp; AGE GROUP</t>
  </si>
  <si>
    <t xml:space="preserve">  GENDER &amp; SPEND SEGMENT</t>
  </si>
  <si>
    <t xml:space="preserve">  MONTHLY SALES TREND   |   Jan - Dec Performance</t>
  </si>
  <si>
    <t xml:space="preserve">  KEY BUSINESS INSIGHTS</t>
  </si>
  <si>
    <t>01</t>
  </si>
  <si>
    <t>Clothing leads at 527K revenue — 44% of total sales.</t>
  </si>
  <si>
    <t>02</t>
  </si>
  <si>
    <t>Kanyon Mall dominates with 315K, nearly 2x its nearest rival.</t>
  </si>
  <si>
    <t>03</t>
  </si>
  <si>
    <t>Age 41-50 group generates the highest revenue at 302K.</t>
  </si>
  <si>
    <t>04</t>
  </si>
  <si>
    <t>Credit Card &amp; Cash are nearly equal — both critical payment channels.</t>
  </si>
  <si>
    <t>05</t>
  </si>
  <si>
    <t>October peaks at 145K; May is the lowest month at 57K.</t>
  </si>
  <si>
    <t>06</t>
  </si>
  <si>
    <t>Premium Spend: 81 customers but 812K revenue — highest ROI group.</t>
  </si>
  <si>
    <t>07</t>
  </si>
  <si>
    <t>Female customers contribute 54% of total revenue.</t>
  </si>
  <si>
    <t>Customer Shopping &amp; Revenue Dashboard   |   Retail Analytics Project   |   Built with Microsoft Excel</t>
  </si>
  <si>
    <t>1,194,092</t>
  </si>
  <si>
    <t>Avg Age</t>
  </si>
  <si>
    <t>43</t>
  </si>
  <si>
    <t>Female Rev</t>
  </si>
  <si>
    <t>646,503</t>
  </si>
  <si>
    <t>Male Rev</t>
  </si>
  <si>
    <t>547,589</t>
  </si>
  <si>
    <t>CC Orders</t>
  </si>
  <si>
    <t>183</t>
  </si>
  <si>
    <t>Cash Orders</t>
  </si>
  <si>
    <t>213</t>
  </si>
  <si>
    <t>High Value</t>
  </si>
  <si>
    <t>81</t>
  </si>
  <si>
    <t>Bulk Orders</t>
  </si>
  <si>
    <t>209</t>
  </si>
  <si>
    <t>Category</t>
  </si>
  <si>
    <t>Revenue</t>
  </si>
  <si>
    <t>Mall</t>
  </si>
  <si>
    <t>Payment</t>
  </si>
  <si>
    <t>Age Group</t>
  </si>
  <si>
    <t>Gender</t>
  </si>
  <si>
    <t>Month</t>
  </si>
  <si>
    <t>Spend Segment</t>
  </si>
  <si>
    <t>Books</t>
  </si>
  <si>
    <t>Cevahir</t>
  </si>
  <si>
    <t>Cash</t>
  </si>
  <si>
    <t>Below 20</t>
  </si>
  <si>
    <t>Female</t>
  </si>
  <si>
    <t>Jan</t>
  </si>
  <si>
    <t>High Spend</t>
  </si>
  <si>
    <t>Clothing</t>
  </si>
  <si>
    <t>Emaar Sq</t>
  </si>
  <si>
    <t>Credit Card</t>
  </si>
  <si>
    <t>20-30</t>
  </si>
  <si>
    <t>Male</t>
  </si>
  <si>
    <t>Feb</t>
  </si>
  <si>
    <t>Low Spend</t>
  </si>
  <si>
    <t>Cosmetics</t>
  </si>
  <si>
    <t>Forum IST</t>
  </si>
  <si>
    <t>Debit Card</t>
  </si>
  <si>
    <t>31-40</t>
  </si>
  <si>
    <t>Mar</t>
  </si>
  <si>
    <t>Med Spend</t>
  </si>
  <si>
    <t>Food &amp; Bev</t>
  </si>
  <si>
    <t>Istinye Pk</t>
  </si>
  <si>
    <t>41-50</t>
  </si>
  <si>
    <t>Apr</t>
  </si>
  <si>
    <t>Premium Spend</t>
  </si>
  <si>
    <t>Shoes</t>
  </si>
  <si>
    <t>Kanyon</t>
  </si>
  <si>
    <t>51-60</t>
  </si>
  <si>
    <t>May</t>
  </si>
  <si>
    <t>Souvenir</t>
  </si>
  <si>
    <t>Mall IST</t>
  </si>
  <si>
    <t>60+</t>
  </si>
  <si>
    <t>Jun</t>
  </si>
  <si>
    <t>Technology</t>
  </si>
  <si>
    <t>Metrocity</t>
  </si>
  <si>
    <t>Jul</t>
  </si>
  <si>
    <t>Toys</t>
  </si>
  <si>
    <t>Metropol</t>
  </si>
  <si>
    <t>Aug</t>
  </si>
  <si>
    <t>Viaport</t>
  </si>
  <si>
    <t>Sep</t>
  </si>
  <si>
    <t>Zorlu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</si>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</sst>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22"/>
      <color rgb="FF00B4D8"/>
      <name val="Arial"/>
      <charset val="1"/>
    </font>
    <font>
      <i/>
      <sz val="10"/>
      <color rgb="FF90CAF9"/>
      <name val="Arial"/>
      <charset val="1"/>
    </font>
    <font>
      <sz val="9"/>
      <color rgb="FFB0C4DE"/>
      <name val="Arial"/>
      <charset val="1"/>
    </font>
    <font>
      <b/>
      <sz val="22"/>
      <color rgb="FFFFFFFF"/>
      <name val="Arial"/>
      <charset val="1"/>
    </font>
    <font>
      <sz val="7"/>
      <color rgb="FF00B4D8"/>
      <name val="Arial"/>
      <charset val="1"/>
    </font>
    <font>
      <b/>
      <sz val="10"/>
      <color rgb="FF00B4D8"/>
      <name val="Arial"/>
      <charset val="1"/>
    </font>
    <font>
      <b/>
      <sz val="11"/>
      <color rgb="FF00B4D8"/>
      <name val="Arial"/>
      <charset val="1"/>
    </font>
    <font>
      <sz val="9"/>
      <color rgb="FFD0E8FF"/>
      <name val="Arial"/>
      <charset val="1"/>
    </font>
    <font>
      <i/>
      <sz val="8"/>
      <color rgb="FF607D8B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923"/>
        <bgColor rgb="FF162232"/>
      </patternFill>
    </fill>
    <fill>
      <patternFill patternType="solid">
        <fgColor rgb="FF00B4D8"/>
        <bgColor rgb="FF48CAE4"/>
      </patternFill>
    </fill>
    <fill>
      <patternFill patternType="solid">
        <fgColor rgb="FF1B4F72"/>
        <bgColor rgb="FF1A5276"/>
      </patternFill>
    </fill>
    <fill>
      <patternFill patternType="solid">
        <fgColor rgb="FF1A5276"/>
        <bgColor rgb="FF1B4F72"/>
      </patternFill>
    </fill>
    <fill>
      <patternFill patternType="solid">
        <fgColor rgb="FF117A65"/>
        <bgColor rgb="FF0077B6"/>
      </patternFill>
    </fill>
    <fill>
      <patternFill patternType="solid">
        <fgColor rgb="FF6C3483"/>
        <bgColor rgb="FF7209B7"/>
      </patternFill>
    </fill>
    <fill>
      <patternFill patternType="solid">
        <fgColor rgb="FF922B21"/>
        <bgColor rgb="FF784212"/>
      </patternFill>
    </fill>
    <fill>
      <patternFill patternType="solid">
        <fgColor rgb="FF784212"/>
        <bgColor rgb="FF922B21"/>
      </patternFill>
    </fill>
    <fill>
      <patternFill patternType="solid">
        <fgColor rgb="FF1E3A5F"/>
        <bgColor rgb="FF1B4F72"/>
      </patternFill>
    </fill>
    <fill>
      <patternFill patternType="solid">
        <fgColor rgb="FF162232"/>
        <bgColor rgb="FF0F19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7" fillId="11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72585"/>
      <rgbColor rgb="FF00FFFF"/>
      <rgbColor rgb="FF800000"/>
      <rgbColor rgb="FF008000"/>
      <rgbColor rgb="FF000080"/>
      <rgbColor rgb="FF808000"/>
      <rgbColor rgb="FF7209B7"/>
      <rgbColor rgb="FF117A65"/>
      <rgbColor rgb="FFB0C4DE"/>
      <rgbColor rgb="FF878787"/>
      <rgbColor rgb="FF9999FF"/>
      <rgbColor rgb="FF6C3483"/>
      <rgbColor rgb="FFF9F9F9"/>
      <rgbColor rgb="FFD0E8FF"/>
      <rgbColor rgb="FF660066"/>
      <rgbColor rgb="FFFF8080"/>
      <rgbColor rgb="FF0077B6"/>
      <rgbColor rgb="FFD9D9D9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B4D8"/>
      <rgbColor rgb="FFADE8F4"/>
      <rgbColor rgb="FF90E0EF"/>
      <rgbColor rgb="FFFFFF99"/>
      <rgbColor rgb="FF90CAF9"/>
      <rgbColor rgb="FFFF99CC"/>
      <rgbColor rgb="FFCC99FF"/>
      <rgbColor rgb="FFFFCC99"/>
      <rgbColor rgb="FF4F81BD"/>
      <rgbColor rgb="FF48CAE4"/>
      <rgbColor rgb="FF99CC00"/>
      <rgbColor rgb="FFFFCC00"/>
      <rgbColor rgb="FFFF9900"/>
      <rgbColor rgb="FFFF6600"/>
      <rgbColor rgb="FF607D8B"/>
      <rgbColor rgb="FF969696"/>
      <rgbColor rgb="FF1E3A5F"/>
      <rgbColor rgb="FF339966"/>
      <rgbColor rgb="FF0F1923"/>
      <rgbColor rgb="FF333300"/>
      <rgbColor rgb="FF922B21"/>
      <rgbColor rgb="FF784212"/>
      <rgbColor rgb="FF1B4F72"/>
      <rgbColor rgb="FF1622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B4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Chart_Data!$A$2:$A$9</c:f>
              <c:strCache>
                <c:ptCount val="8"/>
                <c:pt idx="0">
                  <c:v>Books</c:v>
                </c:pt>
                <c:pt idx="1">
                  <c:v>Clothing</c:v>
                </c:pt>
                <c:pt idx="2">
                  <c:v>Cosmetics</c:v>
                </c:pt>
                <c:pt idx="3">
                  <c:v>Food &amp; Bev</c:v>
                </c:pt>
                <c:pt idx="4">
                  <c:v>Shoes</c:v>
                </c:pt>
                <c:pt idx="5">
                  <c:v>Souvenir</c:v>
                </c:pt>
                <c:pt idx="6">
                  <c:v>Technology</c:v>
                </c:pt>
                <c:pt idx="7">
                  <c:v>Toys</c:v>
                </c:pt>
              </c:strCache>
            </c:strRef>
          </c:cat>
          <c:val>
            <c:numRef>
              <c:f>Chart_Data!$B$2:$B$9</c:f>
              <c:numCache>
                <c:formatCode>General</c:formatCode>
                <c:ptCount val="8"/>
                <c:pt idx="0">
                  <c:v>6060</c:v>
                </c:pt>
                <c:pt idx="1">
                  <c:v>527541</c:v>
                </c:pt>
                <c:pt idx="2">
                  <c:v>40213</c:v>
                </c:pt>
                <c:pt idx="3">
                  <c:v>4325</c:v>
                </c:pt>
                <c:pt idx="4">
                  <c:v>340296</c:v>
                </c:pt>
                <c:pt idx="5">
                  <c:v>4974</c:v>
                </c:pt>
                <c:pt idx="6">
                  <c:v>253050</c:v>
                </c:pt>
                <c:pt idx="7">
                  <c:v>17633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3-4DFA-8103-9810C2A20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791332"/>
        <c:axId val="66136193"/>
      </c:barChart>
      <c:catAx>
        <c:axId val="517913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36193"/>
        <c:crosses val="autoZero"/>
        <c:auto val="1"/>
        <c:lblAlgn val="ctr"/>
        <c:lblOffset val="100"/>
        <c:noMultiLvlLbl val="0"/>
      </c:catAx>
      <c:valAx>
        <c:axId val="661361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7913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Shopping Mall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8CAE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Chart_Data!$D$2:$D$11</c:f>
              <c:strCache>
                <c:ptCount val="10"/>
                <c:pt idx="0">
                  <c:v>Cevahir</c:v>
                </c:pt>
                <c:pt idx="1">
                  <c:v>Emaar Sq</c:v>
                </c:pt>
                <c:pt idx="2">
                  <c:v>Forum IST</c:v>
                </c:pt>
                <c:pt idx="3">
                  <c:v>Istinye Pk</c:v>
                </c:pt>
                <c:pt idx="4">
                  <c:v>Kanyon</c:v>
                </c:pt>
                <c:pt idx="5">
                  <c:v>Mall IST</c:v>
                </c:pt>
                <c:pt idx="6">
                  <c:v>Metrocity</c:v>
                </c:pt>
                <c:pt idx="7">
                  <c:v>Metropol</c:v>
                </c:pt>
                <c:pt idx="8">
                  <c:v>Viaport</c:v>
                </c:pt>
                <c:pt idx="9">
                  <c:v>Zorlu</c:v>
                </c:pt>
              </c:strCache>
            </c:strRef>
          </c:cat>
          <c:val>
            <c:numRef>
              <c:f>Chart_Data!$E$2:$E$11</c:f>
              <c:numCache>
                <c:formatCode>General</c:formatCode>
                <c:ptCount val="10"/>
                <c:pt idx="0">
                  <c:v>93234</c:v>
                </c:pt>
                <c:pt idx="1">
                  <c:v>74030</c:v>
                </c:pt>
                <c:pt idx="2">
                  <c:v>67055</c:v>
                </c:pt>
                <c:pt idx="3">
                  <c:v>44890</c:v>
                </c:pt>
                <c:pt idx="4">
                  <c:v>315040</c:v>
                </c:pt>
                <c:pt idx="5">
                  <c:v>189043</c:v>
                </c:pt>
                <c:pt idx="6">
                  <c:v>129221</c:v>
                </c:pt>
                <c:pt idx="7">
                  <c:v>112284</c:v>
                </c:pt>
                <c:pt idx="8">
                  <c:v>80698</c:v>
                </c:pt>
                <c:pt idx="9">
                  <c:v>88597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4-474B-A28E-CAE594691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78131"/>
        <c:axId val="22658446"/>
      </c:barChart>
      <c:catAx>
        <c:axId val="147781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58446"/>
        <c:crosses val="autoZero"/>
        <c:auto val="1"/>
        <c:lblAlgn val="ctr"/>
        <c:lblOffset val="100"/>
        <c:noMultiLvlLbl val="0"/>
      </c:catAx>
      <c:valAx>
        <c:axId val="226584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7781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0077B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978-4A5C-B07D-856048ECAA21}"/>
              </c:ext>
            </c:extLst>
          </c:dPt>
          <c:dPt>
            <c:idx val="1"/>
            <c:bubble3D val="0"/>
            <c:spPr>
              <a:solidFill>
                <a:srgbClr val="00B4D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978-4A5C-B07D-856048ECAA21}"/>
              </c:ext>
            </c:extLst>
          </c:dPt>
          <c:dPt>
            <c:idx val="2"/>
            <c:bubble3D val="0"/>
            <c:spPr>
              <a:solidFill>
                <a:srgbClr val="90E0E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978-4A5C-B07D-856048ECAA2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978-4A5C-B07D-856048ECAA2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978-4A5C-B07D-856048ECAA2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978-4A5C-B07D-856048ECAA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Chart_Data!$G$2:$G$4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</c:strCache>
            </c:strRef>
          </c:cat>
          <c:val>
            <c:numRef>
              <c:f>Chart_Data!$H$2:$H$4</c:f>
              <c:numCache>
                <c:formatCode>General</c:formatCode>
                <c:ptCount val="3"/>
                <c:pt idx="0">
                  <c:v>450687</c:v>
                </c:pt>
                <c:pt idx="1">
                  <c:v>465258</c:v>
                </c:pt>
                <c:pt idx="2">
                  <c:v>278147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78-4A5C-B07D-856048ECA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Chart_Data!$K$1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ADE8F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Chart_Data!$J$2:$J$7</c:f>
              <c:strCache>
                <c:ptCount val="6"/>
                <c:pt idx="0">
                  <c:v>Below 20</c:v>
                </c:pt>
                <c:pt idx="1">
                  <c:v>20-30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60+</c:v>
                </c:pt>
              </c:strCache>
            </c:strRef>
          </c:cat>
          <c:val>
            <c:numRef>
              <c:f>Chart_Data!$K$2:$K$7</c:f>
              <c:numCache>
                <c:formatCode>General</c:formatCode>
                <c:ptCount val="6"/>
                <c:pt idx="0">
                  <c:v>21524</c:v>
                </c:pt>
                <c:pt idx="1">
                  <c:v>257280</c:v>
                </c:pt>
                <c:pt idx="2">
                  <c:v>162670</c:v>
                </c:pt>
                <c:pt idx="3">
                  <c:v>302437</c:v>
                </c:pt>
                <c:pt idx="4">
                  <c:v>215340</c:v>
                </c:pt>
                <c:pt idx="5">
                  <c:v>234840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F-479F-A9ED-C630D0216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78871"/>
        <c:axId val="80110616"/>
      </c:barChart>
      <c:catAx>
        <c:axId val="8027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10616"/>
        <c:crosses val="autoZero"/>
        <c:auto val="1"/>
        <c:lblAlgn val="ctr"/>
        <c:lblOffset val="100"/>
        <c:noMultiLvlLbl val="0"/>
      </c:catAx>
      <c:valAx>
        <c:axId val="80110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2788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Chart_Data!$N$1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7258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Chart_Data!$M$2:$M$3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Chart_Data!$N$2:$N$3</c:f>
              <c:numCache>
                <c:formatCode>General</c:formatCode>
                <c:ptCount val="2"/>
                <c:pt idx="0">
                  <c:v>646503</c:v>
                </c:pt>
                <c:pt idx="1">
                  <c:v>547589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B-4A87-903E-987F9028E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3463"/>
        <c:axId val="45143757"/>
      </c:barChart>
      <c:catAx>
        <c:axId val="10793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143757"/>
        <c:crosses val="autoZero"/>
        <c:auto val="1"/>
        <c:lblAlgn val="ctr"/>
        <c:lblOffset val="100"/>
        <c:noMultiLvlLbl val="0"/>
      </c:catAx>
      <c:valAx>
        <c:axId val="45143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934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Spend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Chart_Data!$T$1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209B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Chart_Data!$S$2:$S$5</c:f>
              <c:strCache>
                <c:ptCount val="4"/>
                <c:pt idx="0">
                  <c:v>High Spend</c:v>
                </c:pt>
                <c:pt idx="1">
                  <c:v>Low Spend</c:v>
                </c:pt>
                <c:pt idx="2">
                  <c:v>Med Spend</c:v>
                </c:pt>
                <c:pt idx="3">
                  <c:v>Premium Spend</c:v>
                </c:pt>
              </c:strCache>
            </c:strRef>
          </c:cat>
          <c:val>
            <c:numRef>
              <c:f>Chart_Data!$T$2:$T$5</c:f>
              <c:numCache>
                <c:formatCode>General</c:formatCode>
                <c:ptCount val="4"/>
                <c:pt idx="0">
                  <c:v>251459</c:v>
                </c:pt>
                <c:pt idx="1">
                  <c:v>43340</c:v>
                </c:pt>
                <c:pt idx="2">
                  <c:v>87179</c:v>
                </c:pt>
                <c:pt idx="3">
                  <c:v>812113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0-479D-8C91-90BF9F04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94210"/>
        <c:axId val="35843630"/>
      </c:barChart>
      <c:catAx>
        <c:axId val="661942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43630"/>
        <c:crosses val="autoZero"/>
        <c:auto val="1"/>
        <c:lblAlgn val="ctr"/>
        <c:lblOffset val="100"/>
        <c:noMultiLvlLbl val="0"/>
      </c:catAx>
      <c:valAx>
        <c:axId val="358436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942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Chart_Data!$Q$1</c:f>
              <c:strCache>
                <c:ptCount val="1"/>
                <c:pt idx="0">
                  <c:v>Revenue</c:v>
                </c:pt>
              </c:strCache>
            </c:strRef>
          </c:tx>
          <c:spPr>
            <a:ln w="2808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Chart_Data!$P$2:$P$13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Chart_Data!$Q$2:$Q$13</c:f>
              <c:numCache>
                <c:formatCode>General</c:formatCode>
                <c:ptCount val="12"/>
                <c:pt idx="0">
                  <c:v>138591</c:v>
                </c:pt>
                <c:pt idx="1">
                  <c:v>122761</c:v>
                </c:pt>
                <c:pt idx="2">
                  <c:v>69485</c:v>
                </c:pt>
                <c:pt idx="3">
                  <c:v>71789</c:v>
                </c:pt>
                <c:pt idx="4">
                  <c:v>57054</c:v>
                </c:pt>
                <c:pt idx="5">
                  <c:v>117798</c:v>
                </c:pt>
                <c:pt idx="6">
                  <c:v>66252</c:v>
                </c:pt>
                <c:pt idx="7">
                  <c:v>114496</c:v>
                </c:pt>
                <c:pt idx="8">
                  <c:v>97202</c:v>
                </c:pt>
                <c:pt idx="9">
                  <c:v>145592</c:v>
                </c:pt>
                <c:pt idx="10">
                  <c:v>122477</c:v>
                </c:pt>
                <c:pt idx="11">
                  <c:v>70595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0B-4146-BD5B-213B1F337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142156"/>
        <c:axId val="64485796"/>
      </c:lineChart>
      <c:catAx>
        <c:axId val="701421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85796"/>
        <c:crosses val="autoZero"/>
        <c:auto val="1"/>
        <c:lblAlgn val="ctr"/>
        <c:lblOffset val="100"/>
        <c:noMultiLvlLbl val="0"/>
      </c:catAx>
      <c:valAx>
        <c:axId val="644857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421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105840</xdr:colOff>
      <xdr:row>30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6</xdr:col>
      <xdr:colOff>105840</xdr:colOff>
      <xdr:row>50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12</xdr:row>
      <xdr:rowOff>0</xdr:rowOff>
    </xdr:from>
    <xdr:to>
      <xdr:col>13</xdr:col>
      <xdr:colOff>105840</xdr:colOff>
      <xdr:row>30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13</xdr:col>
      <xdr:colOff>105840</xdr:colOff>
      <xdr:row>50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12</xdr:row>
      <xdr:rowOff>0</xdr:rowOff>
    </xdr:from>
    <xdr:to>
      <xdr:col>20</xdr:col>
      <xdr:colOff>105840</xdr:colOff>
      <xdr:row>30</xdr:row>
      <xdr:rowOff>170640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0</xdr:colOff>
      <xdr:row>32</xdr:row>
      <xdr:rowOff>0</xdr:rowOff>
    </xdr:from>
    <xdr:to>
      <xdr:col>20</xdr:col>
      <xdr:colOff>105840</xdr:colOff>
      <xdr:row>50</xdr:row>
      <xdr:rowOff>170640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11</xdr:col>
      <xdr:colOff>337680</xdr:colOff>
      <xdr:row>72</xdr:row>
      <xdr:rowOff>233640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"/>
  <sheetViews>
    <sheetView showGridLines="0" tabSelected="1" topLeftCell="C1" zoomScaleNormal="100" workbookViewId="0">
      <selection activeCell="G16" sqref="G16"/>
    </sheetView>
  </sheetViews>
  <sheetFormatPr defaultColWidth="8.6640625" defaultRowHeight="14.4" x14ac:dyDescent="0.3"/>
  <cols>
    <col min="1" max="1" width="2" customWidth="1"/>
    <col min="2" max="7" width="14" customWidth="1"/>
    <col min="8" max="8" width="2" customWidth="1"/>
    <col min="9" max="14" width="14" customWidth="1"/>
    <col min="15" max="15" width="2" customWidth="1"/>
    <col min="16" max="21" width="14" customWidth="1"/>
    <col min="22" max="22" width="2" customWidth="1"/>
  </cols>
  <sheetData>
    <row r="1" spans="1:22" ht="7.5" customHeigh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7.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7.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ht="39.75" customHeight="1" x14ac:dyDescent="0.3">
      <c r="A4" s="15"/>
      <c r="B4" s="14" t="s">
        <v>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ht="21.75" customHeight="1" x14ac:dyDescent="0.3">
      <c r="A5" s="15"/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5"/>
    </row>
    <row r="6" spans="1:22" ht="6" customHeight="1" x14ac:dyDescent="0.3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5"/>
    </row>
    <row r="7" spans="1:22" ht="21.75" customHeight="1" x14ac:dyDescent="0.3">
      <c r="A7" s="15"/>
      <c r="B7" s="12" t="s">
        <v>2</v>
      </c>
      <c r="C7" s="12"/>
      <c r="D7" s="12"/>
      <c r="E7" s="11" t="s">
        <v>3</v>
      </c>
      <c r="F7" s="11"/>
      <c r="G7" s="11"/>
      <c r="H7" s="15"/>
      <c r="I7" s="10" t="s">
        <v>4</v>
      </c>
      <c r="J7" s="10"/>
      <c r="K7" s="10"/>
      <c r="L7" s="9" t="s">
        <v>5</v>
      </c>
      <c r="M7" s="9"/>
      <c r="N7" s="9"/>
      <c r="O7" s="15"/>
      <c r="P7" s="8" t="s">
        <v>6</v>
      </c>
      <c r="Q7" s="8"/>
      <c r="R7" s="8"/>
      <c r="S7" s="7" t="s">
        <v>7</v>
      </c>
      <c r="T7" s="7"/>
      <c r="U7" s="7"/>
      <c r="V7" s="15"/>
    </row>
    <row r="8" spans="1:22" ht="36" customHeight="1" x14ac:dyDescent="0.3">
      <c r="A8" s="15"/>
      <c r="B8" s="6" t="s">
        <v>8</v>
      </c>
      <c r="C8" s="6"/>
      <c r="D8" s="6"/>
      <c r="E8" s="5" t="s">
        <v>8</v>
      </c>
      <c r="F8" s="5"/>
      <c r="G8" s="5"/>
      <c r="H8" s="15"/>
      <c r="I8" s="4" t="s">
        <v>9</v>
      </c>
      <c r="J8" s="4"/>
      <c r="K8" s="4"/>
      <c r="L8" s="3" t="s">
        <v>10</v>
      </c>
      <c r="M8" s="3"/>
      <c r="N8" s="3"/>
      <c r="O8" s="15"/>
      <c r="P8" s="2" t="s">
        <v>11</v>
      </c>
      <c r="Q8" s="2"/>
      <c r="R8" s="2"/>
      <c r="S8" s="1" t="s">
        <v>12</v>
      </c>
      <c r="T8" s="1"/>
      <c r="U8" s="1"/>
      <c r="V8" s="15"/>
    </row>
    <row r="9" spans="1:22" ht="15.75" customHeight="1" x14ac:dyDescent="0.3">
      <c r="A9" s="15"/>
      <c r="B9" s="18" t="s">
        <v>13</v>
      </c>
      <c r="C9" s="18"/>
      <c r="D9" s="18"/>
      <c r="E9" s="19" t="s">
        <v>13</v>
      </c>
      <c r="F9" s="19"/>
      <c r="G9" s="19"/>
      <c r="H9" s="15"/>
      <c r="I9" s="20" t="s">
        <v>13</v>
      </c>
      <c r="J9" s="20"/>
      <c r="K9" s="20"/>
      <c r="L9" s="21" t="s">
        <v>13</v>
      </c>
      <c r="M9" s="21"/>
      <c r="N9" s="21"/>
      <c r="O9" s="15"/>
      <c r="P9" s="22" t="s">
        <v>13</v>
      </c>
      <c r="Q9" s="22"/>
      <c r="R9" s="22"/>
      <c r="S9" s="23" t="s">
        <v>13</v>
      </c>
      <c r="T9" s="23"/>
      <c r="U9" s="23"/>
      <c r="V9" s="15"/>
    </row>
    <row r="10" spans="1:22" ht="7.5" customHeigh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.75" customHeight="1" x14ac:dyDescent="0.3">
      <c r="A11" s="15"/>
      <c r="B11" s="24" t="s">
        <v>14</v>
      </c>
      <c r="C11" s="24"/>
      <c r="D11" s="24"/>
      <c r="E11" s="24"/>
      <c r="F11" s="24"/>
      <c r="G11" s="24"/>
      <c r="H11" s="15"/>
      <c r="I11" s="24" t="s">
        <v>15</v>
      </c>
      <c r="J11" s="24"/>
      <c r="K11" s="24"/>
      <c r="L11" s="24"/>
      <c r="M11" s="24"/>
      <c r="N11" s="24"/>
      <c r="O11" s="15"/>
      <c r="P11" s="24" t="s">
        <v>16</v>
      </c>
      <c r="Q11" s="24"/>
      <c r="R11" s="24"/>
      <c r="S11" s="24"/>
      <c r="T11" s="24"/>
      <c r="U11" s="24"/>
      <c r="V11" s="15"/>
    </row>
    <row r="12" spans="1:22" ht="7.5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spans="1:22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1:22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1:22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1:22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1:22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1:22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1:22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1:22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1:22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1:22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1:22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1:22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1:22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1:22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1:22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1:22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1:22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1:22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1:22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ht="3.75" customHeight="1" x14ac:dyDescent="0.3">
      <c r="A53" s="1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/>
    </row>
    <row r="54" spans="1:22" ht="21.75" customHeight="1" x14ac:dyDescent="0.3">
      <c r="A54" s="15"/>
      <c r="B54" s="24" t="s">
        <v>17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15"/>
    </row>
    <row r="55" spans="1:22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 ht="21.75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24" t="s">
        <v>18</v>
      </c>
      <c r="Q56" s="24"/>
      <c r="R56" s="24"/>
      <c r="S56" s="24"/>
      <c r="T56" s="24"/>
      <c r="U56" s="24"/>
      <c r="V56" s="15"/>
    </row>
    <row r="57" spans="1:22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ht="24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7" t="s">
        <v>19</v>
      </c>
      <c r="Q58" s="25" t="s">
        <v>20</v>
      </c>
      <c r="R58" s="25"/>
      <c r="S58" s="25"/>
      <c r="T58" s="25"/>
      <c r="U58" s="25"/>
      <c r="V58" s="15"/>
    </row>
    <row r="59" spans="1:22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ht="24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7" t="s">
        <v>21</v>
      </c>
      <c r="Q61" s="25" t="s">
        <v>22</v>
      </c>
      <c r="R61" s="25"/>
      <c r="S61" s="25"/>
      <c r="T61" s="25"/>
      <c r="U61" s="25"/>
      <c r="V61" s="15"/>
    </row>
    <row r="62" spans="1:22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ht="24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7" t="s">
        <v>23</v>
      </c>
      <c r="Q64" s="25" t="s">
        <v>24</v>
      </c>
      <c r="R64" s="25"/>
      <c r="S64" s="25"/>
      <c r="T64" s="25"/>
      <c r="U64" s="25"/>
      <c r="V64" s="15"/>
    </row>
    <row r="65" spans="1:22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1:22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1:22" ht="24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7" t="s">
        <v>25</v>
      </c>
      <c r="Q67" s="25" t="s">
        <v>26</v>
      </c>
      <c r="R67" s="25"/>
      <c r="S67" s="25"/>
      <c r="T67" s="25"/>
      <c r="U67" s="25"/>
      <c r="V67" s="15"/>
    </row>
    <row r="68" spans="1:22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spans="1:22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spans="1:22" ht="24" customHeigh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7" t="s">
        <v>27</v>
      </c>
      <c r="Q70" s="25" t="s">
        <v>28</v>
      </c>
      <c r="R70" s="25"/>
      <c r="S70" s="25"/>
      <c r="T70" s="25"/>
      <c r="U70" s="25"/>
      <c r="V70" s="15"/>
    </row>
    <row r="71" spans="1:22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spans="1:22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spans="1:22" ht="24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7" t="s">
        <v>29</v>
      </c>
      <c r="Q73" s="25" t="s">
        <v>30</v>
      </c>
      <c r="R73" s="25"/>
      <c r="S73" s="25"/>
      <c r="T73" s="25"/>
      <c r="U73" s="25"/>
      <c r="V73" s="15"/>
    </row>
    <row r="74" spans="1:22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1:22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spans="1:22" ht="24" customHeigh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7" t="s">
        <v>31</v>
      </c>
      <c r="Q76" s="25" t="s">
        <v>32</v>
      </c>
      <c r="R76" s="25"/>
      <c r="S76" s="25"/>
      <c r="T76" s="25"/>
      <c r="U76" s="25"/>
      <c r="V76" s="15"/>
    </row>
    <row r="77" spans="1:22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spans="1:22" ht="3.75" customHeight="1" x14ac:dyDescent="0.3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5"/>
    </row>
    <row r="79" spans="1:22" ht="19.5" customHeight="1" x14ac:dyDescent="0.3">
      <c r="A79" s="15"/>
      <c r="B79" s="26" t="s">
        <v>33</v>
      </c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15"/>
    </row>
    <row r="80" spans="1:22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spans="1:22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spans="1:22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spans="1:22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spans="1:22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</sheetData>
  <mergeCells count="33">
    <mergeCell ref="Q73:U73"/>
    <mergeCell ref="Q76:U76"/>
    <mergeCell ref="B79:U79"/>
    <mergeCell ref="Q58:U58"/>
    <mergeCell ref="Q61:U61"/>
    <mergeCell ref="Q64:U64"/>
    <mergeCell ref="Q67:U67"/>
    <mergeCell ref="Q70:U70"/>
    <mergeCell ref="B11:G11"/>
    <mergeCell ref="I11:N11"/>
    <mergeCell ref="P11:U11"/>
    <mergeCell ref="B54:U54"/>
    <mergeCell ref="P56:U56"/>
    <mergeCell ref="S8:U8"/>
    <mergeCell ref="B9:D9"/>
    <mergeCell ref="E9:G9"/>
    <mergeCell ref="I9:K9"/>
    <mergeCell ref="L9:N9"/>
    <mergeCell ref="P9:R9"/>
    <mergeCell ref="S9:U9"/>
    <mergeCell ref="B8:D8"/>
    <mergeCell ref="E8:G8"/>
    <mergeCell ref="I8:K8"/>
    <mergeCell ref="L8:N8"/>
    <mergeCell ref="P8:R8"/>
    <mergeCell ref="B4:U4"/>
    <mergeCell ref="B5:U5"/>
    <mergeCell ref="B7:D7"/>
    <mergeCell ref="E7:G7"/>
    <mergeCell ref="I7:K7"/>
    <mergeCell ref="L7:N7"/>
    <mergeCell ref="P7:R7"/>
    <mergeCell ref="S7:U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zoomScaleNormal="100" workbookViewId="0"/>
  </sheetViews>
  <sheetFormatPr defaultColWidth="8.6640625" defaultRowHeight="14.4" x14ac:dyDescent="0.3"/>
  <sheetData>
    <row r="2" spans="1:3" x14ac:dyDescent="0.3">
      <c r="A2" t="s">
        <v>2</v>
      </c>
      <c r="B2">
        <v>499</v>
      </c>
      <c r="C2" t="s">
        <v>8</v>
      </c>
    </row>
    <row r="3" spans="1:3" x14ac:dyDescent="0.3">
      <c r="A3" t="s">
        <v>3</v>
      </c>
      <c r="B3">
        <v>499</v>
      </c>
      <c r="C3" t="s">
        <v>8</v>
      </c>
    </row>
    <row r="4" spans="1:3" x14ac:dyDescent="0.3">
      <c r="A4" t="s">
        <v>4</v>
      </c>
      <c r="B4">
        <v>1194091.78</v>
      </c>
      <c r="C4" t="s">
        <v>34</v>
      </c>
    </row>
    <row r="5" spans="1:3" x14ac:dyDescent="0.3">
      <c r="A5" t="s">
        <v>5</v>
      </c>
      <c r="B5">
        <v>2392.9699999999998</v>
      </c>
      <c r="C5" t="s">
        <v>10</v>
      </c>
    </row>
    <row r="6" spans="1:3" x14ac:dyDescent="0.3">
      <c r="A6" t="s">
        <v>6</v>
      </c>
      <c r="B6">
        <v>1530</v>
      </c>
      <c r="C6" t="s">
        <v>11</v>
      </c>
    </row>
    <row r="7" spans="1:3" x14ac:dyDescent="0.3">
      <c r="A7" t="s">
        <v>35</v>
      </c>
      <c r="B7">
        <v>43.03</v>
      </c>
      <c r="C7" t="s">
        <v>36</v>
      </c>
    </row>
    <row r="8" spans="1:3" x14ac:dyDescent="0.3">
      <c r="A8" t="s">
        <v>37</v>
      </c>
      <c r="B8">
        <v>646502.85</v>
      </c>
      <c r="C8" t="s">
        <v>38</v>
      </c>
    </row>
    <row r="9" spans="1:3" x14ac:dyDescent="0.3">
      <c r="A9" t="s">
        <v>39</v>
      </c>
      <c r="B9">
        <v>547588.93000000005</v>
      </c>
      <c r="C9" t="s">
        <v>40</v>
      </c>
    </row>
    <row r="10" spans="1:3" x14ac:dyDescent="0.3">
      <c r="A10" t="s">
        <v>41</v>
      </c>
      <c r="B10">
        <v>183</v>
      </c>
      <c r="C10" t="s">
        <v>42</v>
      </c>
    </row>
    <row r="11" spans="1:3" x14ac:dyDescent="0.3">
      <c r="A11" t="s">
        <v>43</v>
      </c>
      <c r="B11">
        <v>213</v>
      </c>
      <c r="C11" t="s">
        <v>44</v>
      </c>
    </row>
    <row r="12" spans="1:3" x14ac:dyDescent="0.3">
      <c r="A12" t="s">
        <v>45</v>
      </c>
      <c r="B12">
        <v>81</v>
      </c>
      <c r="C12" t="s">
        <v>46</v>
      </c>
    </row>
    <row r="13" spans="1:3" x14ac:dyDescent="0.3">
      <c r="A13" t="s">
        <v>47</v>
      </c>
      <c r="B13">
        <v>209</v>
      </c>
      <c r="C13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"/>
  <sheetViews>
    <sheetView zoomScaleNormal="100" workbookViewId="0"/>
  </sheetViews>
  <sheetFormatPr defaultColWidth="8.6640625" defaultRowHeight="14.4" x14ac:dyDescent="0.3"/>
  <sheetData>
    <row r="1" spans="1:20" x14ac:dyDescent="0.3">
      <c r="A1" t="s">
        <v>49</v>
      </c>
      <c r="B1" t="s">
        <v>50</v>
      </c>
      <c r="D1" t="s">
        <v>51</v>
      </c>
      <c r="E1" t="s">
        <v>50</v>
      </c>
      <c r="G1" t="s">
        <v>52</v>
      </c>
      <c r="H1" t="s">
        <v>50</v>
      </c>
      <c r="J1" t="s">
        <v>53</v>
      </c>
      <c r="K1" t="s">
        <v>50</v>
      </c>
      <c r="M1" t="s">
        <v>54</v>
      </c>
      <c r="N1" t="s">
        <v>50</v>
      </c>
      <c r="P1" t="s">
        <v>55</v>
      </c>
      <c r="Q1" t="s">
        <v>50</v>
      </c>
      <c r="S1" t="s">
        <v>56</v>
      </c>
      <c r="T1" t="s">
        <v>50</v>
      </c>
    </row>
    <row r="2" spans="1:20" x14ac:dyDescent="0.3">
      <c r="A2" t="s">
        <v>57</v>
      </c>
      <c r="B2">
        <v>6060</v>
      </c>
      <c r="D2" t="s">
        <v>58</v>
      </c>
      <c r="E2">
        <v>93234</v>
      </c>
      <c r="G2" t="s">
        <v>59</v>
      </c>
      <c r="H2">
        <v>450687</v>
      </c>
      <c r="J2" t="s">
        <v>60</v>
      </c>
      <c r="K2">
        <v>21524</v>
      </c>
      <c r="M2" t="s">
        <v>61</v>
      </c>
      <c r="N2">
        <v>646503</v>
      </c>
      <c r="P2" t="s">
        <v>62</v>
      </c>
      <c r="Q2">
        <v>138591</v>
      </c>
      <c r="S2" t="s">
        <v>63</v>
      </c>
      <c r="T2">
        <v>251459</v>
      </c>
    </row>
    <row r="3" spans="1:20" x14ac:dyDescent="0.3">
      <c r="A3" t="s">
        <v>64</v>
      </c>
      <c r="B3">
        <v>527541</v>
      </c>
      <c r="D3" t="s">
        <v>65</v>
      </c>
      <c r="E3">
        <v>74030</v>
      </c>
      <c r="G3" t="s">
        <v>66</v>
      </c>
      <c r="H3">
        <v>465258</v>
      </c>
      <c r="J3" t="s">
        <v>67</v>
      </c>
      <c r="K3">
        <v>257280</v>
      </c>
      <c r="M3" t="s">
        <v>68</v>
      </c>
      <c r="N3">
        <v>547589</v>
      </c>
      <c r="P3" t="s">
        <v>69</v>
      </c>
      <c r="Q3">
        <v>122761</v>
      </c>
      <c r="S3" t="s">
        <v>70</v>
      </c>
      <c r="T3">
        <v>43340</v>
      </c>
    </row>
    <row r="4" spans="1:20" x14ac:dyDescent="0.3">
      <c r="A4" t="s">
        <v>71</v>
      </c>
      <c r="B4">
        <v>40213</v>
      </c>
      <c r="D4" t="s">
        <v>72</v>
      </c>
      <c r="E4">
        <v>67055</v>
      </c>
      <c r="G4" t="s">
        <v>73</v>
      </c>
      <c r="H4">
        <v>278147</v>
      </c>
      <c r="J4" t="s">
        <v>74</v>
      </c>
      <c r="K4">
        <v>162670</v>
      </c>
      <c r="P4" t="s">
        <v>75</v>
      </c>
      <c r="Q4">
        <v>69485</v>
      </c>
      <c r="S4" t="s">
        <v>76</v>
      </c>
      <c r="T4">
        <v>87179</v>
      </c>
    </row>
    <row r="5" spans="1:20" x14ac:dyDescent="0.3">
      <c r="A5" t="s">
        <v>77</v>
      </c>
      <c r="B5">
        <v>4325</v>
      </c>
      <c r="D5" t="s">
        <v>78</v>
      </c>
      <c r="E5">
        <v>44890</v>
      </c>
      <c r="J5" t="s">
        <v>79</v>
      </c>
      <c r="K5">
        <v>302437</v>
      </c>
      <c r="P5" t="s">
        <v>80</v>
      </c>
      <c r="Q5">
        <v>71789</v>
      </c>
      <c r="S5" t="s">
        <v>81</v>
      </c>
      <c r="T5">
        <v>812113</v>
      </c>
    </row>
    <row r="6" spans="1:20" x14ac:dyDescent="0.3">
      <c r="A6" t="s">
        <v>82</v>
      </c>
      <c r="B6">
        <v>340296</v>
      </c>
      <c r="D6" t="s">
        <v>83</v>
      </c>
      <c r="E6">
        <v>315040</v>
      </c>
      <c r="J6" t="s">
        <v>84</v>
      </c>
      <c r="K6">
        <v>215340</v>
      </c>
      <c r="P6" t="s">
        <v>85</v>
      </c>
      <c r="Q6">
        <v>57054</v>
      </c>
    </row>
    <row r="7" spans="1:20" x14ac:dyDescent="0.3">
      <c r="A7" t="s">
        <v>86</v>
      </c>
      <c r="B7">
        <v>4974</v>
      </c>
      <c r="D7" t="s">
        <v>87</v>
      </c>
      <c r="E7">
        <v>189043</v>
      </c>
      <c r="J7" t="s">
        <v>88</v>
      </c>
      <c r="K7">
        <v>234840</v>
      </c>
      <c r="P7" t="s">
        <v>89</v>
      </c>
      <c r="Q7">
        <v>117798</v>
      </c>
    </row>
    <row r="8" spans="1:20" x14ac:dyDescent="0.3">
      <c r="A8" t="s">
        <v>90</v>
      </c>
      <c r="B8">
        <v>253050</v>
      </c>
      <c r="D8" t="s">
        <v>91</v>
      </c>
      <c r="E8">
        <v>129221</v>
      </c>
      <c r="P8" t="s">
        <v>92</v>
      </c>
      <c r="Q8">
        <v>66252</v>
      </c>
    </row>
    <row r="9" spans="1:20" x14ac:dyDescent="0.3">
      <c r="A9" t="s">
        <v>93</v>
      </c>
      <c r="B9">
        <v>17633</v>
      </c>
      <c r="D9" t="s">
        <v>94</v>
      </c>
      <c r="E9">
        <v>112284</v>
      </c>
      <c r="P9" t="s">
        <v>95</v>
      </c>
      <c r="Q9">
        <v>114496</v>
      </c>
    </row>
    <row r="10" spans="1:20" x14ac:dyDescent="0.3">
      <c r="D10" t="s">
        <v>96</v>
      </c>
      <c r="E10">
        <v>80698</v>
      </c>
      <c r="P10" t="s">
        <v>97</v>
      </c>
      <c r="Q10">
        <v>97202</v>
      </c>
    </row>
    <row r="11" spans="1:20" x14ac:dyDescent="0.3">
      <c r="D11" t="s">
        <v>98</v>
      </c>
      <c r="E11">
        <v>88597</v>
      </c>
      <c r="P11" t="s">
        <v>99</v>
      </c>
      <c r="Q11">
        <v>145592</v>
      </c>
    </row>
    <row r="12" spans="1:20" x14ac:dyDescent="0.3">
      <c r="P12" t="s">
        <v>100</v>
      </c>
      <c r="Q12">
        <v>122477</v>
      </c>
    </row>
    <row r="13" spans="1:20" x14ac:dyDescent="0.3">
      <c r="P13" t="s">
        <v>101</v>
      </c>
      <c r="Q13">
        <v>70595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KPI_Data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Indhu Prasath</cp:lastModifiedBy>
  <cp:revision>1</cp:revision>
  <dcterms:created xsi:type="dcterms:W3CDTF">2026-06-20T18:21:36Z</dcterms:created>
  <dcterms:modified xsi:type="dcterms:W3CDTF">2026-06-20T18:25:14Z</dcterms:modified>
  <dc:language>en-US</dc:language>
</cp:coreProperties>
</file>