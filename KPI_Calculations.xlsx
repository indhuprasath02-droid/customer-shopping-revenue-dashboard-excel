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cus\Data Analytics\Company Apply\Survey clg\company Projects\Projects Excel\Project 2\customer_shopping_data.csv\"/>
    </mc:Choice>
  </mc:AlternateContent>
  <xr:revisionPtr revIDLastSave="0" documentId="13_ncr:1_{480D4210-C5C8-4A16-AF62-C8F5A4B5A67F}" xr6:coauthVersionLast="47" xr6:coauthVersionMax="47" xr10:uidLastSave="{00000000-0000-0000-0000-000000000000}"/>
  <bookViews>
    <workbookView xWindow="-108" yWindow="-108" windowWidth="23256" windowHeight="12456" xr2:uid="{695AF202-BF48-41C3-8455-E82EC389CA48}"/>
  </bookViews>
  <sheets>
    <sheet name="KPI_Calculation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2" i="1"/>
  <c r="B3" i="1"/>
  <c r="B4" i="1"/>
  <c r="B6" i="1"/>
  <c r="B7" i="1"/>
  <c r="B8" i="1"/>
  <c r="B10" i="1"/>
  <c r="B11" i="1"/>
  <c r="B13" i="1"/>
  <c r="B9" i="1" l="1"/>
  <c r="B12" i="1" l="1"/>
</calcChain>
</file>

<file path=xl/sharedStrings.xml><?xml version="1.0" encoding="utf-8"?>
<sst xmlns="http://schemas.openxmlformats.org/spreadsheetml/2006/main" count="14" uniqueCount="14">
  <si>
    <t>Bulk Orders</t>
  </si>
  <si>
    <t>High Value Orders</t>
  </si>
  <si>
    <t>Cash Orders</t>
  </si>
  <si>
    <t>Credit Card Orders</t>
  </si>
  <si>
    <t>Male Revenue</t>
  </si>
  <si>
    <t>Female Revenue</t>
  </si>
  <si>
    <t>Avg customer Age</t>
  </si>
  <si>
    <t>Total Quantity Sold</t>
  </si>
  <si>
    <t>Avg Order Value</t>
  </si>
  <si>
    <t>Total Revenue</t>
  </si>
  <si>
    <t>Total Customers</t>
  </si>
  <si>
    <t>Total Orders</t>
  </si>
  <si>
    <t>Value</t>
  </si>
  <si>
    <t>KPI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</si>
</sst>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ocus\Data%20Analytics\Company%20Apply\Survey%20clg\company%20Projects\Projects%20Excel\Project%202\customer_shopping_data.csv\cleaned_data.xlsx" TargetMode="External"/><Relationship Id="rId1" Type="http://schemas.openxmlformats.org/officeDocument/2006/relationships/externalLinkPath" Target="clean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_Data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C48BD-BBB2-44E8-8390-BDF3D4236FF1}" name="Table3" displayName="Table3" ref="A1:B13" totalsRowShown="0">
  <autoFilter ref="A1:B13" xr:uid="{2FEC5A7C-6F94-4D19-990E-E8F3038C03CC}"/>
  <tableColumns count="2">
    <tableColumn id="1" xr3:uid="{B4A31434-FC49-4A5C-AFF0-6B627C9368F0}" name="KPI Name"/>
    <tableColumn id="2" xr3:uid="{EA61ABD4-10D1-4E00-8D9A-4BE7B23E8A59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CBEC-6B3F-46CC-8D37-D0E6B7EB1433}">
  <dimension ref="A1:B13"/>
  <sheetViews>
    <sheetView tabSelected="1" workbookViewId="0">
      <selection activeCell="C7" sqref="C7"/>
    </sheetView>
  </sheetViews>
  <sheetFormatPr defaultRowHeight="14.4" x14ac:dyDescent="0.3"/>
  <cols>
    <col min="1" max="1" width="16.6640625" bestFit="1" customWidth="1"/>
    <col min="2" max="2" width="12.33203125" bestFit="1" customWidth="1"/>
  </cols>
  <sheetData>
    <row r="1" spans="1:2" x14ac:dyDescent="0.3">
      <c r="A1" t="s">
        <v>13</v>
      </c>
      <c r="B1" t="s">
        <v>12</v>
      </c>
    </row>
    <row r="2" spans="1:2" x14ac:dyDescent="0.3">
      <c r="A2" t="s">
        <v>11</v>
      </c>
      <c r="B2">
        <f>COUNTA([1]!Table13[invoice_no])</f>
        <v>499</v>
      </c>
    </row>
    <row r="3" spans="1:2" x14ac:dyDescent="0.3">
      <c r="A3" t="s">
        <v>10</v>
      </c>
      <c r="B3">
        <f>COUNTA(([1]!Table13[customer_id]))</f>
        <v>499</v>
      </c>
    </row>
    <row r="4" spans="1:2" x14ac:dyDescent="0.3">
      <c r="A4" t="s">
        <v>9</v>
      </c>
      <c r="B4" s="1">
        <f>SUM([1]!Table13[Sales_amount])</f>
        <v>1194091.7800000003</v>
      </c>
    </row>
    <row r="5" spans="1:2" x14ac:dyDescent="0.3">
      <c r="A5" t="s">
        <v>8</v>
      </c>
      <c r="B5">
        <f>AVERAGE([1]!Table13[Sales_amount])</f>
        <v>2392.9694989979967</v>
      </c>
    </row>
    <row r="6" spans="1:2" x14ac:dyDescent="0.3">
      <c r="A6" t="s">
        <v>7</v>
      </c>
      <c r="B6">
        <f>SUM([1]!Table13[quantity])</f>
        <v>1530</v>
      </c>
    </row>
    <row r="7" spans="1:2" x14ac:dyDescent="0.3">
      <c r="A7" t="s">
        <v>6</v>
      </c>
      <c r="B7">
        <f>AVERAGE([1]!Table13[age])</f>
        <v>43.028056112224448</v>
      </c>
    </row>
    <row r="8" spans="1:2" x14ac:dyDescent="0.3">
      <c r="A8" t="s">
        <v>5</v>
      </c>
      <c r="B8" s="1">
        <f>SUMIFS([1]!Table13[Sales_amount],[1]!Table13[gender],"Female")</f>
        <v>646502.85</v>
      </c>
    </row>
    <row r="9" spans="1:2" x14ac:dyDescent="0.3">
      <c r="A9" t="s">
        <v>4</v>
      </c>
      <c r="B9" s="1">
        <f>SUMIFS([1]!Table13[Sales_amount],[1]!Table13[gender],"Male")</f>
        <v>547588.93000000005</v>
      </c>
    </row>
    <row r="10" spans="1:2" x14ac:dyDescent="0.3">
      <c r="A10" t="s">
        <v>3</v>
      </c>
      <c r="B10">
        <f>COUNTIFS([1]!Table13[payment_method],"Credit Card")</f>
        <v>183</v>
      </c>
    </row>
    <row r="11" spans="1:2" x14ac:dyDescent="0.3">
      <c r="A11" t="s">
        <v>2</v>
      </c>
      <c r="B11">
        <f>COUNTIFS([1]!Table13[payment_method],"Cash")</f>
        <v>213</v>
      </c>
    </row>
    <row r="12" spans="1:2" x14ac:dyDescent="0.3">
      <c r="A12" t="s">
        <v>1</v>
      </c>
      <c r="B12">
        <f>COUNTIFS([1]!Table13[Customer_type],"High Value")</f>
        <v>81</v>
      </c>
    </row>
    <row r="13" spans="1:2" x14ac:dyDescent="0.3">
      <c r="A13" t="s">
        <v>0</v>
      </c>
      <c r="B13">
        <f>COUNTIFS([1]!Table13[Order_Size],"Bulk Order")</f>
        <v>209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Prasath</dc:creator>
  <cp:lastModifiedBy>Indhu Prasath</cp:lastModifiedBy>
  <dcterms:created xsi:type="dcterms:W3CDTF">2026-06-20T18:09:31Z</dcterms:created>
  <dcterms:modified xsi:type="dcterms:W3CDTF">2026-06-20T18:13:03Z</dcterms:modified>
</cp:coreProperties>
</file>